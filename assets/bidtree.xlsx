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mbert/projects/Bidding/assets/"/>
    </mc:Choice>
  </mc:AlternateContent>
  <xr:revisionPtr revIDLastSave="0" documentId="13_ncr:1_{D618C841-C24E-2248-A83C-2033D898BB1B}" xr6:coauthVersionLast="47" xr6:coauthVersionMax="47" xr10:uidLastSave="{00000000-0000-0000-0000-000000000000}"/>
  <bookViews>
    <workbookView xWindow="0" yWindow="600" windowWidth="37680" windowHeight="21000" xr2:uid="{C67589D8-C51A-194F-8A92-BFA7BFE68D55}"/>
  </bookViews>
  <sheets>
    <sheet name="rules" sheetId="1" r:id="rId1"/>
    <sheet name="columns" sheetId="2" r:id="rId2"/>
    <sheet name="help" sheetId="3" r:id="rId3"/>
    <sheet name="SEF" sheetId="4" r:id="rId4"/>
    <sheet name="conclude" sheetId="6" r:id="rId5"/>
    <sheet name="tre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D4" i="6"/>
  <c r="E4" i="6"/>
  <c r="F4" i="6"/>
  <c r="C5" i="6"/>
  <c r="D5" i="6"/>
  <c r="E5" i="6"/>
  <c r="F5" i="6"/>
  <c r="C6" i="6"/>
  <c r="D6" i="6"/>
  <c r="E6" i="6"/>
  <c r="F6" i="6"/>
  <c r="C7" i="6"/>
  <c r="D7" i="6"/>
  <c r="E7" i="6"/>
  <c r="F7" i="6"/>
  <c r="C8" i="6"/>
  <c r="D8" i="6"/>
  <c r="E8" i="6"/>
  <c r="F8" i="6"/>
  <c r="C9" i="6"/>
  <c r="D9" i="6"/>
  <c r="E9" i="6"/>
  <c r="F9" i="6"/>
  <c r="C10" i="6"/>
  <c r="D10" i="6"/>
  <c r="E10" i="6"/>
  <c r="F10" i="6"/>
  <c r="C11" i="6"/>
  <c r="D11" i="6"/>
  <c r="E11" i="6"/>
  <c r="F11" i="6"/>
  <c r="C12" i="6"/>
  <c r="D12" i="6"/>
  <c r="E12" i="6"/>
  <c r="F12" i="6"/>
  <c r="C13" i="6"/>
  <c r="D13" i="6"/>
  <c r="E13" i="6"/>
  <c r="F13" i="6"/>
  <c r="D3" i="6"/>
  <c r="F3" i="6"/>
  <c r="E3" i="6"/>
  <c r="C3" i="6"/>
  <c r="B13" i="6"/>
  <c r="B12" i="6"/>
  <c r="B11" i="6"/>
  <c r="B10" i="6"/>
  <c r="B9" i="6"/>
  <c r="B8" i="6"/>
  <c r="B7" i="6"/>
  <c r="B6" i="6"/>
  <c r="B5" i="6"/>
  <c r="B4" i="6"/>
  <c r="B3" i="6"/>
</calcChain>
</file>

<file path=xl/sharedStrings.xml><?xml version="1.0" encoding="utf-8"?>
<sst xmlns="http://schemas.openxmlformats.org/spreadsheetml/2006/main" count="3930" uniqueCount="681">
  <si>
    <t>Enchère</t>
  </si>
  <si>
    <t>Points</t>
  </si>
  <si>
    <t>Distribution</t>
  </si>
  <si>
    <t>Levées de jeu</t>
  </si>
  <si>
    <t>Levées de défense</t>
  </si>
  <si>
    <t>Perdantes</t>
  </si>
  <si>
    <t>Réveil</t>
  </si>
  <si>
    <t>Forcing</t>
  </si>
  <si>
    <t>Convention</t>
  </si>
  <si>
    <t>Séquence</t>
  </si>
  <si>
    <t>&gt;=24HL</t>
  </si>
  <si>
    <t>ouverture</t>
  </si>
  <si>
    <t>2K</t>
  </si>
  <si>
    <t>manche</t>
  </si>
  <si>
    <t>2 carreau forcing de manche</t>
  </si>
  <si>
    <t>17H-23HL</t>
  </si>
  <si>
    <t>Majeure</t>
  </si>
  <si>
    <t>mineure</t>
  </si>
  <si>
    <t>20-23HL</t>
  </si>
  <si>
    <t>2T</t>
  </si>
  <si>
    <t>autoforcing</t>
  </si>
  <si>
    <t>2 fort indéterminé</t>
  </si>
  <si>
    <t>21-23 HL</t>
  </si>
  <si>
    <t>22-23HL</t>
  </si>
  <si>
    <t>20-21H</t>
  </si>
  <si>
    <t>2SA</t>
  </si>
  <si>
    <t>15H-17H</t>
  </si>
  <si>
    <t>1SA</t>
  </si>
  <si>
    <t>15-16H</t>
  </si>
  <si>
    <t>12H-23HL</t>
  </si>
  <si>
    <t>Majeure 5e</t>
  </si>
  <si>
    <t>1m</t>
  </si>
  <si>
    <t>Meilleure mineure</t>
  </si>
  <si>
    <t>8H-11H</t>
  </si>
  <si>
    <t>1M</t>
  </si>
  <si>
    <t>10H-11H</t>
  </si>
  <si>
    <t>pique</t>
  </si>
  <si>
    <t>1P</t>
  </si>
  <si>
    <t>5-10H</t>
  </si>
  <si>
    <t>&lt;=1</t>
  </si>
  <si>
    <t>2M</t>
  </si>
  <si>
    <t>Barrage</t>
  </si>
  <si>
    <t>10-16H</t>
  </si>
  <si>
    <t>&gt;=7</t>
  </si>
  <si>
    <t>3SA</t>
  </si>
  <si>
    <t>Mineure affranchie</t>
  </si>
  <si>
    <t>6-10HLD</t>
  </si>
  <si>
    <t>&gt;=3</t>
  </si>
  <si>
    <t>ROSA</t>
  </si>
  <si>
    <t>11-12HLD</t>
  </si>
  <si>
    <t>2 SA fitté</t>
  </si>
  <si>
    <t>3M</t>
  </si>
  <si>
    <t>carreau</t>
  </si>
  <si>
    <t>13-15HLD</t>
  </si>
  <si>
    <t>3 SA fitté</t>
  </si>
  <si>
    <t>6-9H</t>
  </si>
  <si>
    <t>4M</t>
  </si>
  <si>
    <t>8-9H</t>
  </si>
  <si>
    <t>4T</t>
  </si>
  <si>
    <t>Splinter</t>
  </si>
  <si>
    <t>4K</t>
  </si>
  <si>
    <t>4C</t>
  </si>
  <si>
    <t>3P</t>
  </si>
  <si>
    <t>&gt;=5</t>
  </si>
  <si>
    <t>&lt;3</t>
  </si>
  <si>
    <t>2C</t>
  </si>
  <si>
    <t>2m</t>
  </si>
  <si>
    <t>&gt;=6HL</t>
  </si>
  <si>
    <t>intervention</t>
  </si>
  <si>
    <t>Michael's cuebids précisés</t>
  </si>
  <si>
    <t>carreau, trèfle</t>
  </si>
  <si>
    <t>pique, trèfle</t>
  </si>
  <si>
    <t>2P</t>
  </si>
  <si>
    <t>pique, carreau</t>
  </si>
  <si>
    <t>3T</t>
  </si>
  <si>
    <t>8-18HL</t>
  </si>
  <si>
    <t>11-18HL</t>
  </si>
  <si>
    <t>&gt;=6</t>
  </si>
  <si>
    <t>trèfle</t>
  </si>
  <si>
    <t>14-18HL</t>
  </si>
  <si>
    <t>&gt;=9HL</t>
  </si>
  <si>
    <t>forcing</t>
  </si>
  <si>
    <t>Stayman</t>
  </si>
  <si>
    <t>séquence</t>
  </si>
  <si>
    <t>Réponse au Stayman</t>
  </si>
  <si>
    <t>9HL</t>
  </si>
  <si>
    <t>Proposition de manche</t>
  </si>
  <si>
    <t>10-15HL</t>
  </si>
  <si>
    <t>16-17HL</t>
  </si>
  <si>
    <t>4SA</t>
  </si>
  <si>
    <t>Proposition de petit chelem</t>
  </si>
  <si>
    <t>18-19HL</t>
  </si>
  <si>
    <t>6SA</t>
  </si>
  <si>
    <t>20-21HL</t>
  </si>
  <si>
    <t>5SA</t>
  </si>
  <si>
    <t>Proposition de grand chelem</t>
  </si>
  <si>
    <t>22-25HL</t>
  </si>
  <si>
    <t>7SA</t>
  </si>
  <si>
    <t>Colonne</t>
  </si>
  <si>
    <t>Concerne</t>
  </si>
  <si>
    <t>Description</t>
  </si>
  <si>
    <t>Format</t>
  </si>
  <si>
    <t>Condition sur les points du joueur</t>
  </si>
  <si>
    <t>[x]</t>
  </si>
  <si>
    <t>x facultatif</t>
  </si>
  <si>
    <t>entiers</t>
  </si>
  <si>
    <t>nnn ou ppp</t>
  </si>
  <si>
    <t>Distribution de la main</t>
  </si>
  <si>
    <t>Enumération</t>
  </si>
  <si>
    <t>oui</t>
  </si>
  <si>
    <t>Bicouleurs</t>
  </si>
  <si>
    <t>2 Couleurs du bicolore (ordre indifférent)</t>
  </si>
  <si>
    <t>CPA et CPB</t>
  </si>
  <si>
    <t>Si CPA et CPB ont 4 cartes, CPA est la couleur la plus économique</t>
  </si>
  <si>
    <t>Si CPA et CPB ont 5 cartes, CPA est la couleur la plus chère</t>
  </si>
  <si>
    <t>Sinon CPA est la couleur ayant le plus de cartes</t>
  </si>
  <si>
    <t>et CPB est la 2e couleur en nombre de cartes</t>
  </si>
  <si>
    <t>strings en minuscule séparés par ' ,'</t>
  </si>
  <si>
    <t>string en minuscule ou entier à 4 chiffres</t>
  </si>
  <si>
    <t>Valeurs</t>
  </si>
  <si>
    <t>les 4 couleurs</t>
  </si>
  <si>
    <t>une des 4 couleurs ou majeure ou mineure</t>
  </si>
  <si>
    <t>unicolore</t>
  </si>
  <si>
    <t>bicolore</t>
  </si>
  <si>
    <t>régulier</t>
  </si>
  <si>
    <t>bicolore 5/5</t>
  </si>
  <si>
    <t xml:space="preserve">Distribution </t>
  </si>
  <si>
    <t>string en minuscule</t>
  </si>
  <si>
    <t>Nombre de levées de défense</t>
  </si>
  <si>
    <t>float</t>
  </si>
  <si>
    <t>Nombre mini requis de levées de jeu</t>
  </si>
  <si>
    <t>&gt;=4</t>
  </si>
  <si>
    <t>[&gt;=]nnn</t>
  </si>
  <si>
    <t>&gt;=2</t>
  </si>
  <si>
    <t>[&gt;=][&lt;=]nnn</t>
  </si>
  <si>
    <t>n ou (a,b,c)</t>
  </si>
  <si>
    <t>Cartes dans la couleur du partenaire</t>
  </si>
  <si>
    <t>OP</t>
  </si>
  <si>
    <t>&lt;, &lt;=, &gt;=, &gt;, vide (signifie =)</t>
  </si>
  <si>
    <t>OPnnn</t>
  </si>
  <si>
    <t>Cartes de fit</t>
  </si>
  <si>
    <t>string</t>
  </si>
  <si>
    <t>Honneurs dans les couleurs courtes</t>
  </si>
  <si>
    <t>honors_in_short_colors</t>
  </si>
  <si>
    <t>Honneurs concentrés dans bicolore</t>
  </si>
  <si>
    <t>honors_in_bicolors</t>
  </si>
  <si>
    <t>Function name</t>
  </si>
  <si>
    <t>Arguments if any</t>
  </si>
  <si>
    <t>Returned value</t>
  </si>
  <si>
    <t>bool</t>
  </si>
  <si>
    <t>major_4</t>
  </si>
  <si>
    <t>Au moins une majeure exactement 4e</t>
  </si>
  <si>
    <t>Nombre de majeures au moins 4e</t>
  </si>
  <si>
    <t>short_color</t>
  </si>
  <si>
    <t>majors_at_least_4</t>
  </si>
  <si>
    <t>requested nbr of colors major 4 at least</t>
  </si>
  <si>
    <t>Calcul Enchère</t>
  </si>
  <si>
    <t>LECTURE DES CONDITIONS</t>
  </si>
  <si>
    <t>CONDITIONS IMPLICITES</t>
  </si>
  <si>
    <t>Toute enchère doit être supérieure à la dernière enchère hors PASSE.</t>
  </si>
  <si>
    <t>Cette enchère est une ouverture</t>
  </si>
  <si>
    <t>Cette enchère est une intervention</t>
  </si>
  <si>
    <t>Cette enchère s'inscrit dans une séquence, voir colonne séquence</t>
  </si>
  <si>
    <t>BIDab</t>
  </si>
  <si>
    <t>Les règles s'analysent une par une de haut en bas.</t>
  </si>
  <si>
    <t>Dès qu'une règle est satisfaite, l'enchère correspondante est énoncée par le joueur courant, et arrêt.</t>
  </si>
  <si>
    <t>L'enchère est PASSE si aucune règle n'est satisfaite pour la situation et le système donnés.</t>
  </si>
  <si>
    <t>Enchère antérieure</t>
  </si>
  <si>
    <t>DEFINITIONS</t>
  </si>
  <si>
    <t>Le joueur courant est celui dont c'est le tour d'enchérir.</t>
  </si>
  <si>
    <t>Une règle correspond à une ligne de l'onglet règles. Une règle est composée de plusieurs conditions.</t>
  </si>
  <si>
    <t>Une condition correspond à une case de l'onglet règles.</t>
  </si>
  <si>
    <t>Sans indication contraire, les règles s'appliquent sur la main du joueur courant.</t>
  </si>
  <si>
    <t>X</t>
  </si>
  <si>
    <t>XX</t>
  </si>
  <si>
    <t>contre</t>
  </si>
  <si>
    <t>surcontre</t>
  </si>
  <si>
    <t>passe</t>
  </si>
  <si>
    <t>n pique</t>
  </si>
  <si>
    <t>n cœur</t>
  </si>
  <si>
    <t>n carreau</t>
  </si>
  <si>
    <t>n trèfle</t>
  </si>
  <si>
    <t>n majeure</t>
  </si>
  <si>
    <t>n mineure</t>
  </si>
  <si>
    <t>n sans atout</t>
  </si>
  <si>
    <t>nP</t>
  </si>
  <si>
    <t>nC</t>
  </si>
  <si>
    <t>nK</t>
  </si>
  <si>
    <t>nT</t>
  </si>
  <si>
    <t>nM</t>
  </si>
  <si>
    <t>nm</t>
  </si>
  <si>
    <t>nSA</t>
  </si>
  <si>
    <t>Joueur courant</t>
  </si>
  <si>
    <t>Main du joueur courant</t>
  </si>
  <si>
    <t>Situations</t>
  </si>
  <si>
    <t>Positions</t>
  </si>
  <si>
    <t>a: tour d'enchère (0 avant ouverture)</t>
  </si>
  <si>
    <t>b: rang de la personne / ouvreur, valeurs 1 à 4. Avant l'ouverture, le rang du donneur est 1.</t>
  </si>
  <si>
    <t>exemples  BID11 : enchère d'ouverture, BID12 : 1e enchère ou passe du joueur juste après l'ouvreur</t>
  </si>
  <si>
    <t>Enchainement des enchères</t>
  </si>
  <si>
    <t>enum</t>
  </si>
  <si>
    <t>Symbole enchère</t>
  </si>
  <si>
    <t xml:space="preserve">Fonction à appeler </t>
  </si>
  <si>
    <t>Enchère exacte à déclarer</t>
  </si>
  <si>
    <t>Représentation symbolique de l'enchère</t>
  </si>
  <si>
    <t>Artificielle</t>
  </si>
  <si>
    <t>Main et/ou historique enchères</t>
  </si>
  <si>
    <t xml:space="preserve">Historique des enchères </t>
  </si>
  <si>
    <t>BIDab='enchère'</t>
  </si>
  <si>
    <t>Enchère, et pas une condition</t>
  </si>
  <si>
    <t>1 ou vide</t>
  </si>
  <si>
    <t>1 si enchère artificielle</t>
  </si>
  <si>
    <t>Dénomination de la convention</t>
  </si>
  <si>
    <t>valeurs exclusives les unes des autres</t>
  </si>
  <si>
    <t>tricolore</t>
  </si>
  <si>
    <t>valeurs redondantes</t>
  </si>
  <si>
    <t>Id</t>
  </si>
  <si>
    <t>TITRE DES COLONNES</t>
  </si>
  <si>
    <t>Entier qui doit être unique</t>
  </si>
  <si>
    <t>int</t>
  </si>
  <si>
    <t>id</t>
  </si>
  <si>
    <t>points</t>
  </si>
  <si>
    <t>distribution</t>
  </si>
  <si>
    <t>bicolor</t>
  </si>
  <si>
    <t>won_tricks</t>
  </si>
  <si>
    <t>def_tricks</t>
  </si>
  <si>
    <t>lost_tricks</t>
  </si>
  <si>
    <t>fit_cards</t>
  </si>
  <si>
    <t>awake</t>
  </si>
  <si>
    <t>hist_bid</t>
  </si>
  <si>
    <t>function1</t>
  </si>
  <si>
    <t>function2</t>
  </si>
  <si>
    <t>function_bid</t>
  </si>
  <si>
    <t>bid</t>
  </si>
  <si>
    <t>artificial</t>
  </si>
  <si>
    <t>convention</t>
  </si>
  <si>
    <t>[OP]nnn[H][L][-nnn]H[L][D]</t>
  </si>
  <si>
    <t>OP deux valeurs possibles: &lt;= ou &gt;=</t>
  </si>
  <si>
    <t>La 2e ligne est un titre en français</t>
  </si>
  <si>
    <t>La 1e ligne est le nom du champ dans Python</t>
  </si>
  <si>
    <t>symbolic_bid</t>
  </si>
  <si>
    <t>coeur, pique</t>
  </si>
  <si>
    <t>coeur</t>
  </si>
  <si>
    <t>carreau, coeur</t>
  </si>
  <si>
    <t>trèfle, coeur</t>
  </si>
  <si>
    <t>coeur, trèfle</t>
  </si>
  <si>
    <t>coeur, carreau</t>
  </si>
  <si>
    <t>SEF_page</t>
  </si>
  <si>
    <t>Page du SEF 2024</t>
  </si>
  <si>
    <t>PASSE</t>
  </si>
  <si>
    <t>Nombre max de perdantes à vulnérabilités équivalentes</t>
  </si>
  <si>
    <t>ajouter 1 si vuln favorable et -1 si défavorable</t>
  </si>
  <si>
    <t>BID11</t>
  </si>
  <si>
    <t>nE</t>
  </si>
  <si>
    <t>3E</t>
  </si>
  <si>
    <t>4E</t>
  </si>
  <si>
    <t>1E</t>
  </si>
  <si>
    <t>2E</t>
  </si>
  <si>
    <t>Perdantes max à vuln neutre</t>
  </si>
  <si>
    <t>Exhaustivité des règles / SEF 2024</t>
  </si>
  <si>
    <t>page</t>
  </si>
  <si>
    <t>Chapitre</t>
  </si>
  <si>
    <t>Partie</t>
  </si>
  <si>
    <t>Ouvertures fortes</t>
  </si>
  <si>
    <t>couverture page</t>
  </si>
  <si>
    <t>couverture partie</t>
  </si>
  <si>
    <t>no_good_major_5</t>
  </si>
  <si>
    <t>Ouverture de 1SA</t>
  </si>
  <si>
    <t>Ouvertures mineures</t>
  </si>
  <si>
    <t>1T</t>
  </si>
  <si>
    <t>Ouvertures majeures</t>
  </si>
  <si>
    <t>13H-23HL</t>
  </si>
  <si>
    <t>8H11H</t>
  </si>
  <si>
    <t>Ouvertures de barrage</t>
  </si>
  <si>
    <t>Intitulé chapitre</t>
  </si>
  <si>
    <t>&gt;=11H</t>
  </si>
  <si>
    <t>Remplace la règle SEF</t>
  </si>
  <si>
    <t>6-10HL</t>
  </si>
  <si>
    <t>Réponse après intervention à la couleur</t>
  </si>
  <si>
    <t>Réponse à ouverture dans le silence adverse</t>
  </si>
  <si>
    <t>BID12</t>
  </si>
  <si>
    <t>6-12HL</t>
  </si>
  <si>
    <t>13-23HL</t>
  </si>
  <si>
    <t>1K</t>
  </si>
  <si>
    <t>6-23HL</t>
  </si>
  <si>
    <t>&gt;=18HL</t>
  </si>
  <si>
    <t>4-10H</t>
  </si>
  <si>
    <t>11H-12HL</t>
  </si>
  <si>
    <t>13-15HL</t>
  </si>
  <si>
    <t>6-8H</t>
  </si>
  <si>
    <t>9-11H</t>
  </si>
  <si>
    <t>3K</t>
  </si>
  <si>
    <t>first_pass</t>
  </si>
  <si>
    <t>nbr de passes avant ouverture</t>
  </si>
  <si>
    <t>&gt;=9</t>
  </si>
  <si>
    <t>5m</t>
  </si>
  <si>
    <t>&gt;=8</t>
  </si>
  <si>
    <t>8-11H</t>
  </si>
  <si>
    <t>Enchère de rencontre</t>
  </si>
  <si>
    <t>SEF_part</t>
  </si>
  <si>
    <t>Sous-partie du SEF</t>
  </si>
  <si>
    <t>1SA Caractéristiques</t>
  </si>
  <si>
    <t>2M faible Caract</t>
  </si>
  <si>
    <t>Barrage 3 Caract</t>
  </si>
  <si>
    <t>Barrage 4 Caract</t>
  </si>
  <si>
    <t>3SA Caract</t>
  </si>
  <si>
    <t>ROSAAP</t>
  </si>
  <si>
    <t>ROACA</t>
  </si>
  <si>
    <t>7-10H</t>
  </si>
  <si>
    <t>7-12HL</t>
  </si>
  <si>
    <t>7-23HL</t>
  </si>
  <si>
    <t>Chang couleur</t>
  </si>
  <si>
    <t>Enchère naturelle SA</t>
  </si>
  <si>
    <t>Soutien</t>
  </si>
  <si>
    <t>8-10HL</t>
  </si>
  <si>
    <t>&gt;=10H</t>
  </si>
  <si>
    <t>Ouverture 2K</t>
  </si>
  <si>
    <t>Ouverture 2T</t>
  </si>
  <si>
    <t>Ouverture 2SA</t>
  </si>
  <si>
    <t>Règles ouv majeure</t>
  </si>
  <si>
    <t>Règles ouv mineure</t>
  </si>
  <si>
    <t>Surcontre</t>
  </si>
  <si>
    <t>7-8H</t>
  </si>
  <si>
    <t>3m</t>
  </si>
  <si>
    <t>4m</t>
  </si>
  <si>
    <t>&gt;=9H</t>
  </si>
  <si>
    <t>5K</t>
  </si>
  <si>
    <t>5T</t>
  </si>
  <si>
    <t>ROAIC</t>
  </si>
  <si>
    <t>&gt;=11HL</t>
  </si>
  <si>
    <t>Nbr mini arrêts couleur adverse</t>
  </si>
  <si>
    <t>stops</t>
  </si>
  <si>
    <t>Contre</t>
  </si>
  <si>
    <t>&gt;=8HL</t>
  </si>
  <si>
    <t>Dernière(s) enchère(s)</t>
  </si>
  <si>
    <t>1M -</t>
  </si>
  <si>
    <t>2T - 2K -</t>
  </si>
  <si>
    <t>1SA -</t>
  </si>
  <si>
    <t>1SA - 2T -</t>
  </si>
  <si>
    <t>1C</t>
  </si>
  <si>
    <t>1T -</t>
  </si>
  <si>
    <t>1K -</t>
  </si>
  <si>
    <t>1m -</t>
  </si>
  <si>
    <t>1P -</t>
  </si>
  <si>
    <t>1C -</t>
  </si>
  <si>
    <t>ench ench ench…</t>
  </si>
  <si>
    <t>non</t>
  </si>
  <si>
    <t>Variante</t>
  </si>
  <si>
    <t>Système d'enchère</t>
  </si>
  <si>
    <t>Variante par rapport au SEF pour certaines règles</t>
  </si>
  <si>
    <t>Numéro de la règle SEF que la variante remplace</t>
  </si>
  <si>
    <t>Nbr de passes avant ouverture</t>
  </si>
  <si>
    <t>Nombre minimum  d'arrêts dans la couleur adverse</t>
  </si>
  <si>
    <t>Opn</t>
  </si>
  <si>
    <t>Une ou plusieurs enchères consécutives juste avant le joueur courant</t>
  </si>
  <si>
    <t>Page du SEF</t>
  </si>
  <si>
    <t>Indicatif, pas utile pour le moteur</t>
  </si>
  <si>
    <t>1m X</t>
  </si>
  <si>
    <t>1T X</t>
  </si>
  <si>
    <t>1m 1E</t>
  </si>
  <si>
    <t>1T 1E</t>
  </si>
  <si>
    <t>1K 1E</t>
  </si>
  <si>
    <t>1T 1K</t>
  </si>
  <si>
    <t>1m 1C</t>
  </si>
  <si>
    <t>1m 1P</t>
  </si>
  <si>
    <t>Contre Spounik simple</t>
  </si>
  <si>
    <t>&gt;=7HL</t>
  </si>
  <si>
    <t>Cuebid</t>
  </si>
  <si>
    <t>1m 1SA</t>
  </si>
  <si>
    <t>1K 1SA</t>
  </si>
  <si>
    <t>&gt;=13HLD</t>
  </si>
  <si>
    <t>ROAIBI</t>
  </si>
  <si>
    <t>ROACA et ROAIC</t>
  </si>
  <si>
    <t>ROAIC et ROAI1SA</t>
  </si>
  <si>
    <t>non couvert dans la page</t>
  </si>
  <si>
    <t>Avec au moins 16HLD changer puis soutenir au palier 3</t>
  </si>
  <si>
    <t>Rép après interv bicolore et rép au contre Spoutnik simple</t>
  </si>
  <si>
    <t>Séquence 1K 2T X</t>
  </si>
  <si>
    <t>irrégulier</t>
  </si>
  <si>
    <t>ROSAAP soutien</t>
  </si>
  <si>
    <t>&gt;=11HLD</t>
  </si>
  <si>
    <t>Drury</t>
  </si>
  <si>
    <t>dév suite rép 2SA, et réponses au Drury</t>
  </si>
  <si>
    <t xml:space="preserve">Rép après interv bicolore </t>
  </si>
  <si>
    <t>ROSA et RAOACA</t>
  </si>
  <si>
    <t>8-10H</t>
  </si>
  <si>
    <t>ROSAAP chang couleur</t>
  </si>
  <si>
    <t>6-11H</t>
  </si>
  <si>
    <t>ROSAAP 1SA</t>
  </si>
  <si>
    <t>6-10H</t>
  </si>
  <si>
    <t>2SA Truscott</t>
  </si>
  <si>
    <t>1M X</t>
  </si>
  <si>
    <t>1P X</t>
  </si>
  <si>
    <t>1C X</t>
  </si>
  <si>
    <t>1K X</t>
  </si>
  <si>
    <t>2SA fitté</t>
  </si>
  <si>
    <t>11-15HLD</t>
  </si>
  <si>
    <t>3C</t>
  </si>
  <si>
    <t>Contre Spoutnik généralisé</t>
  </si>
  <si>
    <t>Contre Spoutnik</t>
  </si>
  <si>
    <t>1M 2E</t>
  </si>
  <si>
    <t>1P 2E</t>
  </si>
  <si>
    <t>1C 2E</t>
  </si>
  <si>
    <t>1C 1P</t>
  </si>
  <si>
    <t>1K 2T</t>
  </si>
  <si>
    <t>Toutes les conditions de la ligne doivent être satisfaites pour que la règle soit satisfaite.</t>
  </si>
  <si>
    <t>Filtrer sur la situation du joueur courant.</t>
  </si>
  <si>
    <t>1M 1SA</t>
  </si>
  <si>
    <t>8-10HLD</t>
  </si>
  <si>
    <t>Texas</t>
  </si>
  <si>
    <t>Texas et saut coul et Rubensohl</t>
  </si>
  <si>
    <t>Après intervention du n°4</t>
  </si>
  <si>
    <t>Stayaman</t>
  </si>
  <si>
    <t>Interventions et réveils</t>
  </si>
  <si>
    <t>Ouverture seule</t>
  </si>
  <si>
    <t>Ouverture et ROSA</t>
  </si>
  <si>
    <t>Interv du n°2</t>
  </si>
  <si>
    <t>Interv du n°4</t>
  </si>
  <si>
    <t>16-18HL</t>
  </si>
  <si>
    <t>12-18HL</t>
  </si>
  <si>
    <t>Contre d'appel</t>
  </si>
  <si>
    <t>&gt;=19HL</t>
  </si>
  <si>
    <t>Interv du n°4, idem n°2</t>
  </si>
  <si>
    <t>Nbr mini arrêts couleur(s) adverse(s)</t>
  </si>
  <si>
    <t>Cuebid couleur d'ouverture</t>
  </si>
  <si>
    <t>1T - 1K</t>
  </si>
  <si>
    <t>pique, coeur</t>
  </si>
  <si>
    <t>1T - 1C</t>
  </si>
  <si>
    <t>1K - 1C</t>
  </si>
  <si>
    <t>1T - 1P</t>
  </si>
  <si>
    <t>1K - 1P</t>
  </si>
  <si>
    <t>1C - 1P</t>
  </si>
  <si>
    <t>1K - 2T</t>
  </si>
  <si>
    <t>1C - 2T</t>
  </si>
  <si>
    <t>1C - 2K</t>
  </si>
  <si>
    <t>1P - 2T</t>
  </si>
  <si>
    <t>1P - 1K</t>
  </si>
  <si>
    <t>1P - 2C</t>
  </si>
  <si>
    <t>&gt;=13HL</t>
  </si>
  <si>
    <t>K</t>
  </si>
  <si>
    <t>C</t>
  </si>
  <si>
    <t>T</t>
  </si>
  <si>
    <t>Cuebid couleur de réponse</t>
  </si>
  <si>
    <t>bicolore 6/5</t>
  </si>
  <si>
    <t>Bicolore 6/5</t>
  </si>
  <si>
    <t>1E - 1SA</t>
  </si>
  <si>
    <t>1m - 1SA</t>
  </si>
  <si>
    <t>1P - 1SA</t>
  </si>
  <si>
    <t>1C - 1SA</t>
  </si>
  <si>
    <t>trèfle, carreau</t>
  </si>
  <si>
    <t>1M - 1SA</t>
  </si>
  <si>
    <t>1K - 1SA</t>
  </si>
  <si>
    <t>1T - 1SA</t>
  </si>
  <si>
    <t>Contre toute distribution</t>
  </si>
  <si>
    <t>1K - 2K</t>
  </si>
  <si>
    <t>1C - 2C</t>
  </si>
  <si>
    <t>1M - 2M</t>
  </si>
  <si>
    <t>1m - 2m</t>
  </si>
  <si>
    <t>1P - 2P</t>
  </si>
  <si>
    <t>Rép aux interventions</t>
  </si>
  <si>
    <t xml:space="preserve">Interv du n°4 </t>
  </si>
  <si>
    <t>4 à 8</t>
  </si>
  <si>
    <t>1 à 3</t>
  </si>
  <si>
    <t>10 à 14</t>
  </si>
  <si>
    <t>la 21</t>
  </si>
  <si>
    <t>17 ou 20</t>
  </si>
  <si>
    <t>la 18</t>
  </si>
  <si>
    <t>la 22</t>
  </si>
  <si>
    <t>la 23</t>
  </si>
  <si>
    <t>la 24</t>
  </si>
  <si>
    <t>la 25</t>
  </si>
  <si>
    <t>la 9</t>
  </si>
  <si>
    <t>15, 16 et 19</t>
  </si>
  <si>
    <t>aucune</t>
  </si>
  <si>
    <t>BID13</t>
  </si>
  <si>
    <t>26 et 38</t>
  </si>
  <si>
    <t>la 36</t>
  </si>
  <si>
    <t>27 et 37</t>
  </si>
  <si>
    <t>28, 29 et 40</t>
  </si>
  <si>
    <t>la 42</t>
  </si>
  <si>
    <t>(1C)</t>
  </si>
  <si>
    <t>30 et 49</t>
  </si>
  <si>
    <t>31, 32</t>
  </si>
  <si>
    <t>la 41</t>
  </si>
  <si>
    <t>la 43</t>
  </si>
  <si>
    <t>la 44</t>
  </si>
  <si>
    <t>la 45</t>
  </si>
  <si>
    <t>la 46</t>
  </si>
  <si>
    <t>la 47</t>
  </si>
  <si>
    <t>(1P)</t>
  </si>
  <si>
    <t>la 48</t>
  </si>
  <si>
    <t>35 et 50</t>
  </si>
  <si>
    <t>31 et 32</t>
  </si>
  <si>
    <t>Cf 1M</t>
  </si>
  <si>
    <t>la 33</t>
  </si>
  <si>
    <t>la 34</t>
  </si>
  <si>
    <t>la 39</t>
  </si>
  <si>
    <t>semi-régulier</t>
  </si>
  <si>
    <t>n couleur (n'importe laquelle sauf SA)</t>
  </si>
  <si>
    <t xml:space="preserve">Symboles des enchères </t>
  </si>
  <si>
    <t>-</t>
  </si>
  <si>
    <t>Cf Symboles des enchères ci-dessous</t>
  </si>
  <si>
    <t>1T - 2T</t>
  </si>
  <si>
    <t>suit1</t>
  </si>
  <si>
    <t>suit1_count</t>
  </si>
  <si>
    <t>suit2</t>
  </si>
  <si>
    <t>suit2_count</t>
  </si>
  <si>
    <t>cartes de CL1</t>
  </si>
  <si>
    <t>Couleur la plus longue CL1</t>
  </si>
  <si>
    <t>2e couleur la plus longue CL2</t>
  </si>
  <si>
    <t>Cartes CL2</t>
  </si>
  <si>
    <t>Nombre de cartes dans la couleur CL1</t>
  </si>
  <si>
    <t>Nombre de cartes dans la couleur CL2</t>
  </si>
  <si>
    <t>Cartes CL1</t>
  </si>
  <si>
    <t>arg1</t>
  </si>
  <si>
    <t>arg_bid</t>
  </si>
  <si>
    <t>long_suit</t>
  </si>
  <si>
    <t>Spécifique 1</t>
  </si>
  <si>
    <t>Spécifique 2</t>
  </si>
  <si>
    <t>Spécifique 3</t>
  </si>
  <si>
    <t>Paramètre à transmettre pour appel de la fonction 1</t>
  </si>
  <si>
    <t>Paramètre à transmettre pour appel de la fonction Calcul enchère</t>
  </si>
  <si>
    <t>Spécifique 1 et Calcul enchère ==&gt; Fonctions Python</t>
  </si>
  <si>
    <t>best_minor</t>
  </si>
  <si>
    <t>example: 1K</t>
  </si>
  <si>
    <t>n: n° couleur, p: palier enchère</t>
  </si>
  <si>
    <t>cuebid</t>
  </si>
  <si>
    <t>4P</t>
  </si>
  <si>
    <t>p</t>
  </si>
  <si>
    <t>p: palier de l'enchère</t>
  </si>
  <si>
    <t>1CL1</t>
  </si>
  <si>
    <t>2CL1</t>
  </si>
  <si>
    <t>3CL1</t>
  </si>
  <si>
    <t>4CL1</t>
  </si>
  <si>
    <t>5CL1</t>
  </si>
  <si>
    <t>1CL2</t>
  </si>
  <si>
    <t>2CL2</t>
  </si>
  <si>
    <t>pCLn</t>
  </si>
  <si>
    <t>best_major</t>
  </si>
  <si>
    <t>support</t>
  </si>
  <si>
    <t>bid_function</t>
  </si>
  <si>
    <t>other specific function</t>
  </si>
  <si>
    <t>ROA1SA</t>
  </si>
  <si>
    <t>Intervention du n°2</t>
  </si>
  <si>
    <t>Etape</t>
  </si>
  <si>
    <t>step</t>
  </si>
  <si>
    <t>Etape des enchères dans laquelle se trouve le joueur</t>
  </si>
  <si>
    <t>Doit appartenir à la séquence en cours si l'étape obéit à une séquence</t>
  </si>
  <si>
    <t>OPEN</t>
  </si>
  <si>
    <t>INT_N2</t>
  </si>
  <si>
    <t>INT_N4</t>
  </si>
  <si>
    <t>Ouverture et réponses à SA</t>
  </si>
  <si>
    <t>Texas majeur</t>
  </si>
  <si>
    <t>Texas mineur</t>
  </si>
  <si>
    <t>10-15H</t>
  </si>
  <si>
    <t>&gt;=16H</t>
  </si>
  <si>
    <t>Réponse à SA</t>
  </si>
  <si>
    <t>&lt;=15H</t>
  </si>
  <si>
    <t>9-10HLD</t>
  </si>
  <si>
    <t>11-16HLD</t>
  </si>
  <si>
    <t>&gt;=17HLD</t>
  </si>
  <si>
    <t>Convention 2012</t>
  </si>
  <si>
    <t>Chassé-croisé</t>
  </si>
  <si>
    <t>&lt;=9HL</t>
  </si>
  <si>
    <t>&gt;=10HL</t>
  </si>
  <si>
    <t>Misère dorée</t>
  </si>
  <si>
    <t>2T - 2C -</t>
  </si>
  <si>
    <t>2T - 2P -</t>
  </si>
  <si>
    <t>2T - 2M -</t>
  </si>
  <si>
    <t>2T - 2SA -</t>
  </si>
  <si>
    <t>Transfert</t>
  </si>
  <si>
    <t>&gt;=16HLD</t>
  </si>
  <si>
    <t>15-17HLD</t>
  </si>
  <si>
    <t>1SA - 2K -</t>
  </si>
  <si>
    <t>1SA - 2C</t>
  </si>
  <si>
    <t>16-17H</t>
  </si>
  <si>
    <t>Bicolore majeur 5/5</t>
  </si>
  <si>
    <t>9-10HL</t>
  </si>
  <si>
    <t>&lt;=8HL</t>
  </si>
  <si>
    <t>11-15HL</t>
  </si>
  <si>
    <t>&gt;=16HL</t>
  </si>
  <si>
    <t>Meilleure mineure au palier p</t>
  </si>
  <si>
    <t>Meilleure majeure palier p(la + longue, ou la + chère si 5/5, la + éco si 4/4)</t>
  </si>
  <si>
    <t>Rectification Texas</t>
  </si>
  <si>
    <t>Rectification fittée Texas</t>
  </si>
  <si>
    <t>1SA - 2C -</t>
  </si>
  <si>
    <t>1SA - 2P -</t>
  </si>
  <si>
    <t>1SA - 3T -</t>
  </si>
  <si>
    <t>1SA - 4K -</t>
  </si>
  <si>
    <t>2K - 2C -</t>
  </si>
  <si>
    <t>2C - 2P -</t>
  </si>
  <si>
    <t>3CL2</t>
  </si>
  <si>
    <t>&lt;=9H</t>
  </si>
  <si>
    <t>Dévelopt Stayman</t>
  </si>
  <si>
    <t>Dévelopt Texas majeur</t>
  </si>
  <si>
    <t>Dévelopt Texas</t>
  </si>
  <si>
    <t>Rectif Texas majeur</t>
  </si>
  <si>
    <t>Rectif Texas mineur</t>
  </si>
  <si>
    <t>Prochaine étape du camp de l'ouvreur</t>
  </si>
  <si>
    <t>next_step_open</t>
  </si>
  <si>
    <t>SEQ1SA</t>
  </si>
  <si>
    <t>TEXAS</t>
  </si>
  <si>
    <t>STAYMAN</t>
  </si>
  <si>
    <t>2SA -</t>
  </si>
  <si>
    <t>4SA -</t>
  </si>
  <si>
    <t>5SA -</t>
  </si>
  <si>
    <t>&lt;16H</t>
  </si>
  <si>
    <t>Conclusion à SA</t>
  </si>
  <si>
    <t>PASS</t>
  </si>
  <si>
    <t>&lt;16HL</t>
  </si>
  <si>
    <t>Conclusion Chassé-croisé</t>
  </si>
  <si>
    <t>A[OP]n</t>
  </si>
  <si>
    <t>Couleur A possède un nombre de cartes qui satisfait [OP]n. Ex: P&gt;=4 ou K5</t>
  </si>
  <si>
    <t>P=3</t>
  </si>
  <si>
    <t>C=3</t>
  </si>
  <si>
    <t>C&gt;=4</t>
  </si>
  <si>
    <t>P&gt;=4</t>
  </si>
  <si>
    <t>&lt;17HLD</t>
  </si>
  <si>
    <t>Conclusion soutien</t>
  </si>
  <si>
    <t>Enchère de soutien au palier p dans la dernière couleur du partenaire</t>
  </si>
  <si>
    <t>2T - 2K - 3C -</t>
  </si>
  <si>
    <t>2T - 2K - 3P -</t>
  </si>
  <si>
    <t>2T - 2M - 3M -</t>
  </si>
  <si>
    <t>régulier ou 5422 ou 6322</t>
  </si>
  <si>
    <t>bicolore au moins 5/5</t>
  </si>
  <si>
    <t>Au moins une couleur courte (singleton ou chicane)</t>
  </si>
  <si>
    <t>suit_length</t>
  </si>
  <si>
    <t>T&lt;=1</t>
  </si>
  <si>
    <t>K&lt;=1</t>
  </si>
  <si>
    <t>C&lt;=1</t>
  </si>
  <si>
    <t>P&lt;=1</t>
  </si>
  <si>
    <t>Pas de majeure 5e ayant au moins  6 points H</t>
  </si>
  <si>
    <t>P&lt;4</t>
  </si>
  <si>
    <t>longuest_major</t>
  </si>
  <si>
    <t>&lt;4</t>
  </si>
  <si>
    <t>&lt;5</t>
  </si>
  <si>
    <t>takeout_double</t>
  </si>
  <si>
    <t>Distribution adéquate pour un contre d'appel</t>
  </si>
  <si>
    <t>OPn</t>
  </si>
  <si>
    <t>long_color_points_H</t>
  </si>
  <si>
    <t>short_in_interv_color</t>
  </si>
  <si>
    <t>Court dans la couleur d'interventino</t>
  </si>
  <si>
    <t>long_over_interv</t>
  </si>
  <si>
    <t>arg2</t>
  </si>
  <si>
    <t>any_short_color</t>
  </si>
  <si>
    <t>long_suit_1_unnamed</t>
  </si>
  <si>
    <t>long_suit_2_unnamed</t>
  </si>
  <si>
    <t>Couleur longue CL1 non nommée précédemment</t>
  </si>
  <si>
    <t>Couleur longue CL2 non nommée précédemment</t>
  </si>
  <si>
    <t>stop_opponents_suits</t>
  </si>
  <si>
    <t>1 arrêt dans les couleurs adverses</t>
  </si>
  <si>
    <t>True</t>
  </si>
  <si>
    <t>False</t>
  </si>
  <si>
    <t>Couleur longue supérieure à la couleur d'intervention ou pas (saut ou pas)</t>
  </si>
  <si>
    <t>"True" or "False"</t>
  </si>
  <si>
    <t>La majeure la plus longue a un nombre de cartes qui satisfait OPn</t>
  </si>
  <si>
    <t>Les points H dans couleur longue satisfont OPn</t>
  </si>
  <si>
    <t>2T - 2SA - 4T -</t>
  </si>
  <si>
    <t>2T - 2SA - 4K -</t>
  </si>
  <si>
    <t>Conclusion Transfert</t>
  </si>
  <si>
    <t>2T - 2SA - 3T -</t>
  </si>
  <si>
    <t>2T - 2SA - 3K -</t>
  </si>
  <si>
    <t>Finalisation des enchères</t>
  </si>
  <si>
    <t>comment</t>
  </si>
  <si>
    <t>ambition de chelem</t>
  </si>
  <si>
    <t>CHELEM</t>
  </si>
  <si>
    <t>2T - 2C - 3P -</t>
  </si>
  <si>
    <t>2T - 2P - 3C -</t>
  </si>
  <si>
    <t>Vérification des controles</t>
  </si>
  <si>
    <t>control</t>
  </si>
  <si>
    <t>C,15,17</t>
  </si>
  <si>
    <t>P,15,17</t>
  </si>
  <si>
    <t>?</t>
  </si>
  <si>
    <t>3P -</t>
  </si>
  <si>
    <t>4E -</t>
  </si>
  <si>
    <t>blackwood</t>
  </si>
  <si>
    <t>Premier controle</t>
  </si>
  <si>
    <t>Blackwood</t>
  </si>
  <si>
    <t>C,nn,pp or ""</t>
  </si>
  <si>
    <t>C: couleur de fit, nn: HLD mini du joueur 1, pp: HLD mini du joueur 3.</t>
  </si>
  <si>
    <t>4SA - 5E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</si>
</sst>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b/>
      <i/>
      <sz val="11"/>
      <color theme="5" tint="-0.249977111117893"/>
      <name val="Aptos Narrow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name val="Aptos Narrow"/>
      <scheme val="minor"/>
    </font>
    <font>
      <b/>
      <sz val="11"/>
      <color rgb="FF00B0F0"/>
      <name val="Aptos Narrow"/>
      <scheme val="minor"/>
    </font>
    <font>
      <strike/>
      <sz val="11"/>
      <color theme="1"/>
      <name val="Aptos Narrow"/>
      <family val="2"/>
      <scheme val="minor"/>
    </font>
    <font>
      <strike/>
      <sz val="11"/>
      <color theme="1"/>
      <name val="Aptos Narrow"/>
      <scheme val="minor"/>
    </font>
    <font>
      <sz val="8"/>
      <name val="Aptos Narrow"/>
      <family val="2"/>
      <scheme val="minor"/>
    </font>
    <font>
      <b/>
      <i/>
      <sz val="11"/>
      <color rgb="FF00B0F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4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9" fontId="0" fillId="0" borderId="0" xfId="0" applyNumberForma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10" fillId="0" borderId="0" xfId="0" applyFont="1"/>
    <xf numFmtId="16" fontId="0" fillId="0" borderId="0" xfId="0" applyNumberFormat="1"/>
    <xf numFmtId="0" fontId="11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2" fillId="0" borderId="0" xfId="0" applyFont="1"/>
    <xf numFmtId="0" fontId="0" fillId="0" borderId="0" xfId="0" quotePrefix="1"/>
    <xf numFmtId="1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/>
    <xf numFmtId="0" fontId="7" fillId="0" borderId="0" xfId="0" applyFont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/>
    <xf numFmtId="0" fontId="0" fillId="2" borderId="0" xfId="0" applyFill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9B0E-BCB1-0548-9F4F-0A962A7A4ADD}">
  <dimension ref="A1:AD383"/>
  <sheetViews>
    <sheetView tabSelected="1" workbookViewId="0">
      <pane xSplit="3" ySplit="2" topLeftCell="D354" activePane="bottomRight" state="frozen"/>
      <selection pane="topRight" activeCell="F1" sqref="F1"/>
      <selection pane="bottomLeft" activeCell="A3" sqref="A3"/>
      <selection pane="bottomRight" activeCell="R383" sqref="R383"/>
    </sheetView>
  </sheetViews>
  <sheetFormatPr baseColWidth="10" defaultRowHeight="15" x14ac:dyDescent="0.2"/>
  <cols>
    <col min="1" max="1" width="6.6640625" style="17" customWidth="1"/>
    <col min="2" max="2" width="10.83203125" style="1"/>
    <col min="3" max="3" width="13.1640625" style="1" customWidth="1"/>
    <col min="4" max="4" width="11.6640625" style="1" customWidth="1"/>
    <col min="5" max="5" width="11.1640625" style="1" customWidth="1"/>
    <col min="6" max="6" width="12.6640625" style="1" customWidth="1"/>
    <col min="7" max="11" width="10.83203125" style="1" customWidth="1"/>
    <col min="12" max="13" width="8.83203125" style="1" customWidth="1"/>
    <col min="14" max="14" width="9" style="1" customWidth="1"/>
    <col min="15" max="15" width="8.83203125" style="1" customWidth="1"/>
    <col min="16" max="16" width="12" style="1" bestFit="1" customWidth="1"/>
    <col min="17" max="17" width="7.6640625" style="1" customWidth="1"/>
    <col min="18" max="18" width="12.1640625" style="1" customWidth="1"/>
    <col min="19" max="20" width="18.83203125" customWidth="1"/>
    <col min="21" max="21" width="6.83203125" style="1" customWidth="1"/>
    <col min="22" max="22" width="15.83203125" style="1" customWidth="1"/>
    <col min="23" max="23" width="7.6640625" style="1" customWidth="1"/>
    <col min="24" max="24" width="10.83203125" style="1"/>
    <col min="25" max="25" width="11.5" style="1" customWidth="1"/>
    <col min="26" max="27" width="10.83203125" style="1"/>
    <col min="28" max="28" width="25.6640625" style="1" customWidth="1"/>
    <col min="29" max="29" width="8.83203125" style="1" customWidth="1"/>
    <col min="30" max="30" width="20.5" style="1" bestFit="1" customWidth="1"/>
  </cols>
  <sheetData>
    <row r="1" spans="1:30" s="21" customFormat="1" ht="32" x14ac:dyDescent="0.2">
      <c r="A1" s="18" t="s">
        <v>220</v>
      </c>
      <c r="B1" s="19" t="s">
        <v>545</v>
      </c>
      <c r="C1" s="19" t="s">
        <v>599</v>
      </c>
      <c r="D1" s="19" t="s">
        <v>221</v>
      </c>
      <c r="E1" s="19" t="s">
        <v>222</v>
      </c>
      <c r="F1" s="19" t="s">
        <v>223</v>
      </c>
      <c r="G1" s="19" t="s">
        <v>503</v>
      </c>
      <c r="H1" s="19" t="s">
        <v>504</v>
      </c>
      <c r="I1" s="19" t="s">
        <v>505</v>
      </c>
      <c r="J1" s="19" t="s">
        <v>506</v>
      </c>
      <c r="K1" s="19" t="s">
        <v>292</v>
      </c>
      <c r="L1" s="19" t="s">
        <v>224</v>
      </c>
      <c r="M1" s="19" t="s">
        <v>225</v>
      </c>
      <c r="N1" s="19" t="s">
        <v>226</v>
      </c>
      <c r="O1" s="19" t="s">
        <v>227</v>
      </c>
      <c r="P1" s="19" t="s">
        <v>331</v>
      </c>
      <c r="Q1" s="19" t="s">
        <v>228</v>
      </c>
      <c r="R1" s="19" t="s">
        <v>229</v>
      </c>
      <c r="S1" s="19" t="s">
        <v>230</v>
      </c>
      <c r="T1" s="19" t="s">
        <v>231</v>
      </c>
      <c r="U1" s="19" t="s">
        <v>643</v>
      </c>
      <c r="V1" s="19" t="s">
        <v>232</v>
      </c>
      <c r="W1" s="19" t="s">
        <v>515</v>
      </c>
      <c r="X1" s="19" t="s">
        <v>233</v>
      </c>
      <c r="Y1" s="19" t="s">
        <v>240</v>
      </c>
      <c r="Z1" s="20" t="s">
        <v>234</v>
      </c>
      <c r="AA1" s="20" t="s">
        <v>81</v>
      </c>
      <c r="AB1" s="20" t="s">
        <v>235</v>
      </c>
      <c r="AC1" s="19" t="s">
        <v>247</v>
      </c>
      <c r="AD1" s="19" t="s">
        <v>299</v>
      </c>
    </row>
    <row r="2" spans="1:30" s="4" customFormat="1" ht="48" x14ac:dyDescent="0.2">
      <c r="A2" s="16" t="s">
        <v>216</v>
      </c>
      <c r="B2" s="2" t="s">
        <v>544</v>
      </c>
      <c r="C2" s="2" t="s">
        <v>598</v>
      </c>
      <c r="D2" s="2" t="s">
        <v>1</v>
      </c>
      <c r="E2" s="2" t="s">
        <v>2</v>
      </c>
      <c r="F2" s="2" t="s">
        <v>110</v>
      </c>
      <c r="G2" s="2" t="s">
        <v>508</v>
      </c>
      <c r="H2" s="2" t="s">
        <v>513</v>
      </c>
      <c r="I2" s="2" t="s">
        <v>509</v>
      </c>
      <c r="J2" s="2" t="s">
        <v>510</v>
      </c>
      <c r="K2" s="2" t="s">
        <v>293</v>
      </c>
      <c r="L2" s="2" t="s">
        <v>3</v>
      </c>
      <c r="M2" s="2" t="s">
        <v>4</v>
      </c>
      <c r="N2" s="2" t="s">
        <v>258</v>
      </c>
      <c r="O2" s="2" t="s">
        <v>140</v>
      </c>
      <c r="P2" s="2" t="s">
        <v>423</v>
      </c>
      <c r="Q2" s="2" t="s">
        <v>6</v>
      </c>
      <c r="R2" s="2" t="s">
        <v>334</v>
      </c>
      <c r="S2" s="2" t="s">
        <v>517</v>
      </c>
      <c r="T2" s="2" t="s">
        <v>518</v>
      </c>
      <c r="U2" s="2"/>
      <c r="V2" s="2" t="s">
        <v>156</v>
      </c>
      <c r="W2" s="2"/>
      <c r="X2" s="2" t="s">
        <v>0</v>
      </c>
      <c r="Y2" s="2" t="s">
        <v>201</v>
      </c>
      <c r="Z2" s="3" t="s">
        <v>205</v>
      </c>
      <c r="AA2" s="3" t="s">
        <v>7</v>
      </c>
      <c r="AB2" s="3" t="s">
        <v>8</v>
      </c>
      <c r="AC2" s="2" t="s">
        <v>248</v>
      </c>
      <c r="AD2" s="2" t="s">
        <v>300</v>
      </c>
    </row>
    <row r="3" spans="1:30" s="6" customFormat="1" x14ac:dyDescent="0.2">
      <c r="A3" s="13">
        <v>1</v>
      </c>
      <c r="B3" s="5" t="s">
        <v>548</v>
      </c>
      <c r="C3" s="5"/>
      <c r="D3" s="5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48"/>
      <c r="T3" s="48"/>
      <c r="U3" s="22"/>
      <c r="V3" s="5"/>
      <c r="W3" s="5"/>
      <c r="X3" s="5" t="s">
        <v>12</v>
      </c>
      <c r="Y3" s="5" t="s">
        <v>12</v>
      </c>
      <c r="Z3" s="5">
        <v>1</v>
      </c>
      <c r="AA3" s="5" t="s">
        <v>13</v>
      </c>
      <c r="AB3" s="5" t="s">
        <v>14</v>
      </c>
      <c r="AC3" s="5">
        <v>34</v>
      </c>
      <c r="AD3" s="5" t="s">
        <v>316</v>
      </c>
    </row>
    <row r="4" spans="1:30" s="6" customFormat="1" x14ac:dyDescent="0.2">
      <c r="A4" s="13">
        <v>2</v>
      </c>
      <c r="B4" s="5" t="s">
        <v>548</v>
      </c>
      <c r="C4" s="5"/>
      <c r="D4" s="5" t="s">
        <v>15</v>
      </c>
      <c r="E4" s="5" t="s">
        <v>122</v>
      </c>
      <c r="F4" s="5"/>
      <c r="G4" s="5" t="s">
        <v>16</v>
      </c>
      <c r="H4" s="5"/>
      <c r="I4" s="5"/>
      <c r="J4" s="5"/>
      <c r="K4" s="5"/>
      <c r="L4" s="5">
        <v>9</v>
      </c>
      <c r="M4" s="5" t="s">
        <v>133</v>
      </c>
      <c r="N4" s="5"/>
      <c r="O4" s="5"/>
      <c r="P4" s="5"/>
      <c r="Q4" s="5"/>
      <c r="R4" s="5"/>
      <c r="S4" s="48"/>
      <c r="T4" s="48"/>
      <c r="U4" s="22"/>
      <c r="V4" s="5"/>
      <c r="W4" s="5"/>
      <c r="X4" s="5" t="s">
        <v>12</v>
      </c>
      <c r="Y4" s="5" t="s">
        <v>12</v>
      </c>
      <c r="Z4" s="5">
        <v>1</v>
      </c>
      <c r="AA4" s="5" t="s">
        <v>13</v>
      </c>
      <c r="AB4" s="5" t="s">
        <v>14</v>
      </c>
      <c r="AC4" s="5">
        <v>34</v>
      </c>
      <c r="AD4" s="5" t="s">
        <v>316</v>
      </c>
    </row>
    <row r="5" spans="1:30" s="6" customFormat="1" x14ac:dyDescent="0.2">
      <c r="A5" s="13">
        <v>3</v>
      </c>
      <c r="B5" s="5" t="s">
        <v>548</v>
      </c>
      <c r="C5" s="5"/>
      <c r="D5" s="5" t="s">
        <v>15</v>
      </c>
      <c r="E5" s="5" t="s">
        <v>122</v>
      </c>
      <c r="F5" s="5"/>
      <c r="G5" s="5" t="s">
        <v>17</v>
      </c>
      <c r="H5" s="5"/>
      <c r="I5" s="5"/>
      <c r="J5" s="5"/>
      <c r="K5" s="5"/>
      <c r="L5" s="5">
        <v>10</v>
      </c>
      <c r="M5" s="5" t="s">
        <v>133</v>
      </c>
      <c r="N5" s="5"/>
      <c r="O5" s="5"/>
      <c r="P5" s="5"/>
      <c r="Q5" s="5"/>
      <c r="R5" s="5"/>
      <c r="S5" s="48"/>
      <c r="T5" s="48"/>
      <c r="U5" s="22"/>
      <c r="V5" s="5"/>
      <c r="W5" s="5"/>
      <c r="X5" s="5" t="s">
        <v>12</v>
      </c>
      <c r="Y5" s="5" t="s">
        <v>12</v>
      </c>
      <c r="Z5" s="5">
        <v>1</v>
      </c>
      <c r="AA5" s="5" t="s">
        <v>13</v>
      </c>
      <c r="AB5" s="5" t="s">
        <v>14</v>
      </c>
      <c r="AC5" s="5">
        <v>34</v>
      </c>
      <c r="AD5" s="5" t="s">
        <v>316</v>
      </c>
    </row>
    <row r="6" spans="1:30" s="6" customFormat="1" x14ac:dyDescent="0.2">
      <c r="A6" s="13">
        <v>4</v>
      </c>
      <c r="B6" s="5" t="s">
        <v>548</v>
      </c>
      <c r="C6" s="5"/>
      <c r="D6" s="5" t="s">
        <v>18</v>
      </c>
      <c r="E6" s="5" t="s">
        <v>122</v>
      </c>
      <c r="F6" s="5"/>
      <c r="G6" s="5" t="s">
        <v>16</v>
      </c>
      <c r="H6" s="5"/>
      <c r="I6" s="5"/>
      <c r="J6" s="5"/>
      <c r="K6" s="5"/>
      <c r="L6" s="5">
        <v>8.25</v>
      </c>
      <c r="M6" s="5" t="s">
        <v>133</v>
      </c>
      <c r="N6" s="22"/>
      <c r="O6" s="5"/>
      <c r="P6" s="5"/>
      <c r="Q6" s="5"/>
      <c r="R6" s="5"/>
      <c r="S6" s="48"/>
      <c r="T6" s="48"/>
      <c r="U6" s="22"/>
      <c r="V6" s="5"/>
      <c r="W6" s="5"/>
      <c r="X6" s="5" t="s">
        <v>19</v>
      </c>
      <c r="Y6" s="5" t="s">
        <v>19</v>
      </c>
      <c r="Z6" s="5">
        <v>1</v>
      </c>
      <c r="AA6" s="5" t="s">
        <v>20</v>
      </c>
      <c r="AB6" s="7" t="s">
        <v>21</v>
      </c>
      <c r="AC6" s="5">
        <v>32</v>
      </c>
      <c r="AD6" s="5" t="s">
        <v>317</v>
      </c>
    </row>
    <row r="7" spans="1:30" s="6" customFormat="1" x14ac:dyDescent="0.2">
      <c r="A7" s="13">
        <v>5</v>
      </c>
      <c r="B7" s="5" t="s">
        <v>548</v>
      </c>
      <c r="C7" s="5"/>
      <c r="D7" s="5" t="s">
        <v>18</v>
      </c>
      <c r="E7" s="5" t="s">
        <v>122</v>
      </c>
      <c r="F7" s="5"/>
      <c r="G7" s="5" t="s">
        <v>17</v>
      </c>
      <c r="H7" s="5" t="s">
        <v>43</v>
      </c>
      <c r="I7" s="5"/>
      <c r="J7" s="5"/>
      <c r="K7" s="5"/>
      <c r="L7" s="5">
        <v>9</v>
      </c>
      <c r="M7" s="5"/>
      <c r="N7" s="5"/>
      <c r="O7" s="5"/>
      <c r="P7" s="5"/>
      <c r="Q7" s="5"/>
      <c r="R7" s="5"/>
      <c r="S7" s="48"/>
      <c r="T7" s="48"/>
      <c r="U7" s="22"/>
      <c r="V7" s="5"/>
      <c r="W7" s="5"/>
      <c r="X7" s="5" t="s">
        <v>19</v>
      </c>
      <c r="Y7" s="5" t="s">
        <v>19</v>
      </c>
      <c r="Z7" s="5">
        <v>1</v>
      </c>
      <c r="AA7" s="5" t="s">
        <v>20</v>
      </c>
      <c r="AB7" s="7" t="s">
        <v>21</v>
      </c>
      <c r="AC7" s="5">
        <v>32</v>
      </c>
      <c r="AD7" s="5" t="s">
        <v>317</v>
      </c>
    </row>
    <row r="8" spans="1:30" s="6" customFormat="1" x14ac:dyDescent="0.2">
      <c r="A8" s="13">
        <v>6</v>
      </c>
      <c r="B8" s="5" t="s">
        <v>548</v>
      </c>
      <c r="C8" s="5"/>
      <c r="D8" s="5" t="s">
        <v>22</v>
      </c>
      <c r="E8" s="5"/>
      <c r="F8" s="5"/>
      <c r="G8" s="5" t="s">
        <v>16</v>
      </c>
      <c r="H8" s="5">
        <v>5</v>
      </c>
      <c r="I8" s="5"/>
      <c r="J8" s="5"/>
      <c r="K8" s="5"/>
      <c r="L8" s="5"/>
      <c r="M8" s="5"/>
      <c r="N8" s="5"/>
      <c r="O8" s="5"/>
      <c r="P8" s="5"/>
      <c r="Q8" s="5"/>
      <c r="R8" s="5"/>
      <c r="S8" s="48"/>
      <c r="T8" s="48"/>
      <c r="U8" s="22"/>
      <c r="V8" s="5"/>
      <c r="W8" s="5"/>
      <c r="X8" s="5" t="s">
        <v>19</v>
      </c>
      <c r="Y8" s="5" t="s">
        <v>19</v>
      </c>
      <c r="Z8" s="5">
        <v>1</v>
      </c>
      <c r="AA8" s="5" t="s">
        <v>20</v>
      </c>
      <c r="AB8" s="7" t="s">
        <v>21</v>
      </c>
      <c r="AC8" s="5">
        <v>32</v>
      </c>
      <c r="AD8" s="5" t="s">
        <v>317</v>
      </c>
    </row>
    <row r="9" spans="1:30" s="6" customFormat="1" x14ac:dyDescent="0.2">
      <c r="A9" s="13">
        <v>7</v>
      </c>
      <c r="B9" s="5" t="s">
        <v>548</v>
      </c>
      <c r="C9" s="5"/>
      <c r="D9" s="5" t="s">
        <v>23</v>
      </c>
      <c r="E9" s="5" t="s">
        <v>124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8"/>
      <c r="T9" s="48"/>
      <c r="U9" s="22"/>
      <c r="V9" s="5"/>
      <c r="W9" s="5"/>
      <c r="X9" s="5" t="s">
        <v>19</v>
      </c>
      <c r="Y9" s="5" t="s">
        <v>19</v>
      </c>
      <c r="Z9" s="5">
        <v>1</v>
      </c>
      <c r="AA9" s="5" t="s">
        <v>20</v>
      </c>
      <c r="AB9" s="7" t="s">
        <v>21</v>
      </c>
      <c r="AC9" s="5">
        <v>32</v>
      </c>
      <c r="AD9" s="5" t="s">
        <v>317</v>
      </c>
    </row>
    <row r="10" spans="1:30" s="6" customFormat="1" ht="16" x14ac:dyDescent="0.2">
      <c r="A10" s="13">
        <v>8</v>
      </c>
      <c r="B10" s="5" t="s">
        <v>548</v>
      </c>
      <c r="C10" s="5"/>
      <c r="D10" s="5" t="s">
        <v>15</v>
      </c>
      <c r="E10" s="8" t="s">
        <v>125</v>
      </c>
      <c r="F10" s="5"/>
      <c r="G10" s="5" t="s">
        <v>16</v>
      </c>
      <c r="H10" s="5"/>
      <c r="I10" s="5" t="s">
        <v>16</v>
      </c>
      <c r="J10" s="5"/>
      <c r="K10" s="5"/>
      <c r="L10" s="5"/>
      <c r="M10" s="5"/>
      <c r="N10" s="5">
        <v>3</v>
      </c>
      <c r="O10" s="5"/>
      <c r="P10" s="5"/>
      <c r="Q10" s="5"/>
      <c r="R10" s="5"/>
      <c r="S10" s="48"/>
      <c r="T10" s="48"/>
      <c r="U10" s="22"/>
      <c r="V10" s="5"/>
      <c r="W10" s="5"/>
      <c r="X10" s="5" t="s">
        <v>19</v>
      </c>
      <c r="Y10" s="5" t="s">
        <v>19</v>
      </c>
      <c r="Z10" s="5">
        <v>1</v>
      </c>
      <c r="AA10" s="5" t="s">
        <v>20</v>
      </c>
      <c r="AB10" s="7" t="s">
        <v>21</v>
      </c>
      <c r="AC10" s="5">
        <v>32</v>
      </c>
      <c r="AD10" s="5" t="s">
        <v>317</v>
      </c>
    </row>
    <row r="11" spans="1:30" s="6" customFormat="1" x14ac:dyDescent="0.2">
      <c r="A11" s="13">
        <v>9</v>
      </c>
      <c r="B11" s="5" t="s">
        <v>548</v>
      </c>
      <c r="C11" s="5"/>
      <c r="D11" s="5" t="s">
        <v>24</v>
      </c>
      <c r="E11" s="5" t="s">
        <v>124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8" t="s">
        <v>266</v>
      </c>
      <c r="T11" s="48"/>
      <c r="U11" s="22"/>
      <c r="V11" s="5"/>
      <c r="W11" s="5"/>
      <c r="X11" s="5" t="s">
        <v>25</v>
      </c>
      <c r="Y11" s="5" t="s">
        <v>25</v>
      </c>
      <c r="Z11" s="5"/>
      <c r="AA11" s="5"/>
      <c r="AB11" s="5"/>
      <c r="AC11" s="5">
        <v>35</v>
      </c>
      <c r="AD11" s="5" t="s">
        <v>318</v>
      </c>
    </row>
    <row r="12" spans="1:30" s="6" customFormat="1" x14ac:dyDescent="0.2">
      <c r="A12" s="13">
        <v>10</v>
      </c>
      <c r="B12" s="5" t="s">
        <v>548</v>
      </c>
      <c r="C12" s="5" t="s">
        <v>600</v>
      </c>
      <c r="D12" s="5" t="s">
        <v>26</v>
      </c>
      <c r="E12" s="5" t="s">
        <v>124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8" t="s">
        <v>266</v>
      </c>
      <c r="T12" s="48"/>
      <c r="U12" s="22"/>
      <c r="V12" s="5"/>
      <c r="W12" s="5"/>
      <c r="X12" s="5" t="s">
        <v>27</v>
      </c>
      <c r="Y12" s="5" t="s">
        <v>27</v>
      </c>
      <c r="Z12" s="5"/>
      <c r="AA12" s="5"/>
      <c r="AB12" s="5"/>
      <c r="AC12" s="5">
        <v>24</v>
      </c>
      <c r="AD12" s="5" t="s">
        <v>301</v>
      </c>
    </row>
    <row r="13" spans="1:30" s="6" customFormat="1" x14ac:dyDescent="0.2">
      <c r="A13" s="13">
        <v>11</v>
      </c>
      <c r="B13" s="5" t="s">
        <v>548</v>
      </c>
      <c r="C13" s="5" t="s">
        <v>600</v>
      </c>
      <c r="D13" s="5" t="s">
        <v>28</v>
      </c>
      <c r="E13" s="7">
        <v>5422</v>
      </c>
      <c r="F13" s="7"/>
      <c r="G13" s="5" t="s">
        <v>17</v>
      </c>
      <c r="H13" s="5"/>
      <c r="I13" s="5" t="s">
        <v>242</v>
      </c>
      <c r="J13" s="5"/>
      <c r="K13" s="5"/>
      <c r="L13" s="5"/>
      <c r="M13" s="5"/>
      <c r="N13" s="5"/>
      <c r="O13" s="5"/>
      <c r="P13" s="5"/>
      <c r="Q13" s="5"/>
      <c r="R13" s="5"/>
      <c r="S13" s="48"/>
      <c r="T13" s="48"/>
      <c r="U13" s="22"/>
      <c r="V13" s="5"/>
      <c r="W13" s="5"/>
      <c r="X13" s="5" t="s">
        <v>27</v>
      </c>
      <c r="Y13" s="5" t="s">
        <v>27</v>
      </c>
      <c r="Z13" s="5"/>
      <c r="AA13" s="5"/>
      <c r="AB13" s="5"/>
      <c r="AC13" s="5">
        <v>24</v>
      </c>
      <c r="AD13" s="5" t="s">
        <v>301</v>
      </c>
    </row>
    <row r="14" spans="1:30" s="6" customFormat="1" x14ac:dyDescent="0.2">
      <c r="A14" s="13">
        <v>12</v>
      </c>
      <c r="B14" s="5" t="s">
        <v>548</v>
      </c>
      <c r="C14" s="5" t="s">
        <v>600</v>
      </c>
      <c r="D14" s="5" t="s">
        <v>28</v>
      </c>
      <c r="E14" s="7">
        <v>5422</v>
      </c>
      <c r="F14" s="7"/>
      <c r="G14" s="5" t="s">
        <v>17</v>
      </c>
      <c r="H14" s="5"/>
      <c r="I14" s="5" t="s">
        <v>52</v>
      </c>
      <c r="J14" s="5"/>
      <c r="K14" s="5"/>
      <c r="L14" s="5"/>
      <c r="M14" s="5"/>
      <c r="N14" s="5"/>
      <c r="O14" s="5"/>
      <c r="P14" s="5"/>
      <c r="Q14" s="5"/>
      <c r="R14" s="5"/>
      <c r="S14" s="48"/>
      <c r="T14" s="48"/>
      <c r="U14" s="22"/>
      <c r="V14" s="5"/>
      <c r="W14" s="5"/>
      <c r="X14" s="5" t="s">
        <v>27</v>
      </c>
      <c r="Y14" s="5" t="s">
        <v>27</v>
      </c>
      <c r="Z14" s="5"/>
      <c r="AA14" s="5"/>
      <c r="AB14" s="5"/>
      <c r="AC14" s="5">
        <v>24</v>
      </c>
      <c r="AD14" s="5" t="s">
        <v>301</v>
      </c>
    </row>
    <row r="15" spans="1:30" s="6" customFormat="1" x14ac:dyDescent="0.2">
      <c r="A15" s="13">
        <v>13</v>
      </c>
      <c r="B15" s="5" t="s">
        <v>548</v>
      </c>
      <c r="C15" s="5" t="s">
        <v>600</v>
      </c>
      <c r="D15" s="5" t="s">
        <v>28</v>
      </c>
      <c r="E15" s="5">
        <v>6322</v>
      </c>
      <c r="F15" s="5"/>
      <c r="G15" s="5" t="s">
        <v>17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8" t="s">
        <v>143</v>
      </c>
      <c r="T15" s="48"/>
      <c r="U15" s="22"/>
      <c r="V15" s="5"/>
      <c r="W15" s="5"/>
      <c r="X15" s="5" t="s">
        <v>27</v>
      </c>
      <c r="Y15" s="5" t="s">
        <v>27</v>
      </c>
      <c r="Z15" s="5"/>
      <c r="AA15" s="5"/>
      <c r="AB15" s="5"/>
      <c r="AC15" s="5">
        <v>24</v>
      </c>
      <c r="AD15" s="5" t="s">
        <v>301</v>
      </c>
    </row>
    <row r="16" spans="1:30" s="6" customFormat="1" x14ac:dyDescent="0.2">
      <c r="A16" s="13">
        <v>14</v>
      </c>
      <c r="B16" s="5" t="s">
        <v>548</v>
      </c>
      <c r="C16" s="5" t="s">
        <v>600</v>
      </c>
      <c r="D16" s="5" t="s">
        <v>28</v>
      </c>
      <c r="E16" s="5">
        <v>5332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8" t="s">
        <v>143</v>
      </c>
      <c r="T16" s="48"/>
      <c r="U16" s="22"/>
      <c r="V16" s="5"/>
      <c r="W16" s="35"/>
      <c r="X16" s="5" t="s">
        <v>27</v>
      </c>
      <c r="Y16" s="5" t="s">
        <v>27</v>
      </c>
      <c r="Z16" s="5"/>
      <c r="AA16" s="5"/>
      <c r="AB16" s="5"/>
      <c r="AC16" s="5">
        <v>24</v>
      </c>
      <c r="AD16" s="5" t="s">
        <v>301</v>
      </c>
    </row>
    <row r="17" spans="1:30" s="6" customFormat="1" x14ac:dyDescent="0.2">
      <c r="A17" s="13">
        <v>15</v>
      </c>
      <c r="B17" s="5" t="s">
        <v>548</v>
      </c>
      <c r="C17" s="5"/>
      <c r="D17" s="5" t="s">
        <v>271</v>
      </c>
      <c r="E17" s="5" t="s">
        <v>123</v>
      </c>
      <c r="F17" s="5"/>
      <c r="G17" s="5" t="s">
        <v>17</v>
      </c>
      <c r="H17" s="5" t="s">
        <v>77</v>
      </c>
      <c r="I17" s="5" t="s">
        <v>16</v>
      </c>
      <c r="J17" s="5">
        <v>5</v>
      </c>
      <c r="K17" s="5"/>
      <c r="L17" s="5"/>
      <c r="M17" s="5"/>
      <c r="N17" s="5"/>
      <c r="O17" s="5"/>
      <c r="P17" s="5"/>
      <c r="Q17" s="5"/>
      <c r="R17" s="5"/>
      <c r="S17" s="48"/>
      <c r="T17" s="48"/>
      <c r="U17" s="22"/>
      <c r="V17" s="5" t="s">
        <v>516</v>
      </c>
      <c r="W17" s="5" t="s">
        <v>530</v>
      </c>
      <c r="X17" s="5"/>
      <c r="Y17" s="5" t="s">
        <v>31</v>
      </c>
      <c r="Z17" s="5"/>
      <c r="AA17" s="5"/>
      <c r="AB17" s="5" t="s">
        <v>32</v>
      </c>
      <c r="AC17" s="5">
        <v>17</v>
      </c>
      <c r="AD17" s="5" t="s">
        <v>319</v>
      </c>
    </row>
    <row r="18" spans="1:30" s="6" customFormat="1" x14ac:dyDescent="0.2">
      <c r="A18" s="13">
        <v>16</v>
      </c>
      <c r="B18" s="5" t="s">
        <v>548</v>
      </c>
      <c r="C18" s="5"/>
      <c r="D18" s="5" t="s">
        <v>29</v>
      </c>
      <c r="E18" s="5"/>
      <c r="F18" s="5"/>
      <c r="G18" s="5" t="s">
        <v>16</v>
      </c>
      <c r="H18" s="5" t="s">
        <v>63</v>
      </c>
      <c r="I18" s="22"/>
      <c r="J18" s="22"/>
      <c r="K18" s="5"/>
      <c r="L18" s="5"/>
      <c r="M18" s="5"/>
      <c r="N18" s="5"/>
      <c r="O18" s="5"/>
      <c r="P18" s="5"/>
      <c r="Q18" s="5"/>
      <c r="R18" s="5"/>
      <c r="S18" s="48"/>
      <c r="T18" s="48"/>
      <c r="U18" s="22"/>
      <c r="V18" s="5" t="s">
        <v>516</v>
      </c>
      <c r="W18" s="5" t="s">
        <v>530</v>
      </c>
      <c r="X18" s="5"/>
      <c r="Y18" s="5" t="s">
        <v>34</v>
      </c>
      <c r="Z18" s="5"/>
      <c r="AA18" s="5"/>
      <c r="AB18" s="5" t="s">
        <v>30</v>
      </c>
      <c r="AC18" s="5">
        <v>17</v>
      </c>
      <c r="AD18" s="5" t="s">
        <v>319</v>
      </c>
    </row>
    <row r="19" spans="1:30" s="6" customFormat="1" x14ac:dyDescent="0.2">
      <c r="A19" s="13">
        <v>17</v>
      </c>
      <c r="B19" s="5" t="s">
        <v>548</v>
      </c>
      <c r="C19" s="5"/>
      <c r="D19" s="5" t="s">
        <v>29</v>
      </c>
      <c r="E19" s="8"/>
      <c r="F19" s="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8"/>
      <c r="T19" s="48"/>
      <c r="U19" s="22"/>
      <c r="V19" s="5" t="s">
        <v>523</v>
      </c>
      <c r="W19" s="5">
        <v>1</v>
      </c>
      <c r="X19" s="5"/>
      <c r="Y19" s="5" t="s">
        <v>31</v>
      </c>
      <c r="Z19" s="5"/>
      <c r="AA19" s="5"/>
      <c r="AB19" s="5" t="s">
        <v>32</v>
      </c>
      <c r="AC19" s="5">
        <v>11</v>
      </c>
      <c r="AD19" s="5" t="s">
        <v>320</v>
      </c>
    </row>
    <row r="20" spans="1:30" s="6" customFormat="1" ht="16" x14ac:dyDescent="0.2">
      <c r="A20" s="13">
        <v>18</v>
      </c>
      <c r="B20" s="5" t="s">
        <v>548</v>
      </c>
      <c r="C20" s="5"/>
      <c r="D20" s="5" t="s">
        <v>29</v>
      </c>
      <c r="E20" s="8" t="s">
        <v>125</v>
      </c>
      <c r="F20" s="8" t="s">
        <v>71</v>
      </c>
      <c r="G20" s="5"/>
      <c r="H20" s="5"/>
      <c r="I20" s="5"/>
      <c r="J20" s="5"/>
      <c r="K20" s="5"/>
      <c r="L20" s="5"/>
      <c r="M20" s="5"/>
      <c r="N20" s="5">
        <v>5</v>
      </c>
      <c r="O20" s="5"/>
      <c r="P20" s="5"/>
      <c r="Q20" s="5"/>
      <c r="R20" s="5"/>
      <c r="S20" s="48"/>
      <c r="T20" s="48"/>
      <c r="U20" s="22"/>
      <c r="V20" s="5"/>
      <c r="W20" s="5"/>
      <c r="X20" s="5" t="s">
        <v>269</v>
      </c>
      <c r="Y20" s="5" t="s">
        <v>269</v>
      </c>
      <c r="Z20" s="5"/>
      <c r="AA20" s="5"/>
      <c r="AB20" s="5"/>
      <c r="AC20" s="5">
        <v>11</v>
      </c>
      <c r="AD20" s="5" t="s">
        <v>320</v>
      </c>
    </row>
    <row r="21" spans="1:30" s="6" customFormat="1" x14ac:dyDescent="0.2">
      <c r="A21" s="13">
        <v>19</v>
      </c>
      <c r="B21" s="5" t="s">
        <v>548</v>
      </c>
      <c r="C21" s="5"/>
      <c r="D21" s="5" t="s">
        <v>33</v>
      </c>
      <c r="E21" s="5"/>
      <c r="F21" s="5"/>
      <c r="G21" s="5" t="s">
        <v>16</v>
      </c>
      <c r="H21" s="5" t="s">
        <v>63</v>
      </c>
      <c r="I21" s="5"/>
      <c r="J21" s="5"/>
      <c r="K21" s="5">
        <v>2</v>
      </c>
      <c r="L21" s="5"/>
      <c r="M21" s="5"/>
      <c r="N21" s="5"/>
      <c r="O21" s="5"/>
      <c r="P21" s="5"/>
      <c r="Q21" s="5"/>
      <c r="R21" s="5"/>
      <c r="S21" s="48"/>
      <c r="T21" s="48"/>
      <c r="U21" s="22"/>
      <c r="V21" s="5" t="s">
        <v>516</v>
      </c>
      <c r="W21" s="5" t="s">
        <v>530</v>
      </c>
      <c r="X21" s="5"/>
      <c r="Y21" s="5" t="s">
        <v>34</v>
      </c>
      <c r="Z21" s="5"/>
      <c r="AA21" s="5"/>
      <c r="AB21" s="5" t="s">
        <v>30</v>
      </c>
      <c r="AC21" s="5">
        <v>17</v>
      </c>
      <c r="AD21" s="5" t="s">
        <v>319</v>
      </c>
    </row>
    <row r="22" spans="1:30" s="6" customFormat="1" x14ac:dyDescent="0.2">
      <c r="A22" s="13">
        <v>20</v>
      </c>
      <c r="B22" s="5" t="s">
        <v>548</v>
      </c>
      <c r="C22" s="5"/>
      <c r="D22" s="5" t="s">
        <v>272</v>
      </c>
      <c r="E22" s="5" t="s">
        <v>123</v>
      </c>
      <c r="F22" s="5"/>
      <c r="G22" s="5" t="s">
        <v>17</v>
      </c>
      <c r="H22" s="5" t="s">
        <v>77</v>
      </c>
      <c r="I22" s="5" t="s">
        <v>16</v>
      </c>
      <c r="J22" s="5">
        <v>5</v>
      </c>
      <c r="K22" s="5">
        <v>2</v>
      </c>
      <c r="L22" s="5"/>
      <c r="M22" s="5"/>
      <c r="N22" s="5"/>
      <c r="O22" s="5"/>
      <c r="P22" s="5"/>
      <c r="Q22" s="5"/>
      <c r="R22" s="5"/>
      <c r="S22" s="48"/>
      <c r="T22" s="48"/>
      <c r="U22" s="22"/>
      <c r="V22" s="5" t="s">
        <v>516</v>
      </c>
      <c r="W22" s="5" t="s">
        <v>530</v>
      </c>
      <c r="X22" s="5"/>
      <c r="Y22" s="5" t="s">
        <v>31</v>
      </c>
      <c r="Z22" s="5"/>
      <c r="AA22" s="5"/>
      <c r="AB22" s="5"/>
      <c r="AC22" s="5">
        <v>17</v>
      </c>
      <c r="AD22" s="5" t="s">
        <v>319</v>
      </c>
    </row>
    <row r="23" spans="1:30" s="6" customFormat="1" x14ac:dyDescent="0.2">
      <c r="A23" s="13">
        <v>21</v>
      </c>
      <c r="B23" s="5" t="s">
        <v>548</v>
      </c>
      <c r="C23" s="5"/>
      <c r="D23" s="5" t="s">
        <v>35</v>
      </c>
      <c r="E23" s="5"/>
      <c r="F23" s="5"/>
      <c r="G23" s="5" t="s">
        <v>36</v>
      </c>
      <c r="H23" s="5" t="s">
        <v>63</v>
      </c>
      <c r="I23" s="5"/>
      <c r="J23" s="5"/>
      <c r="K23" s="5">
        <v>3</v>
      </c>
      <c r="L23" s="5"/>
      <c r="M23" s="5"/>
      <c r="N23" s="5"/>
      <c r="O23" s="5"/>
      <c r="P23" s="5"/>
      <c r="Q23" s="5"/>
      <c r="R23" s="5"/>
      <c r="S23" s="48"/>
      <c r="T23" s="48" t="s">
        <v>639</v>
      </c>
      <c r="U23" s="22" t="s">
        <v>131</v>
      </c>
      <c r="V23" s="5"/>
      <c r="W23" s="5"/>
      <c r="X23" s="5" t="s">
        <v>37</v>
      </c>
      <c r="Y23" s="5" t="s">
        <v>37</v>
      </c>
      <c r="Z23" s="5"/>
      <c r="AA23" s="5"/>
      <c r="AB23" s="5"/>
      <c r="AC23" s="5">
        <v>17</v>
      </c>
      <c r="AD23" s="5" t="s">
        <v>319</v>
      </c>
    </row>
    <row r="24" spans="1:30" s="6" customFormat="1" x14ac:dyDescent="0.2">
      <c r="A24" s="13">
        <v>22</v>
      </c>
      <c r="B24" s="5" t="s">
        <v>548</v>
      </c>
      <c r="C24" s="5"/>
      <c r="D24" s="5" t="s">
        <v>38</v>
      </c>
      <c r="E24" s="5" t="s">
        <v>122</v>
      </c>
      <c r="F24" s="5"/>
      <c r="G24" s="5" t="s">
        <v>16</v>
      </c>
      <c r="H24" s="5">
        <v>6</v>
      </c>
      <c r="I24" s="5"/>
      <c r="J24" s="5"/>
      <c r="K24" s="5"/>
      <c r="L24" s="5"/>
      <c r="M24" s="5" t="s">
        <v>39</v>
      </c>
      <c r="N24" s="5"/>
      <c r="O24" s="5"/>
      <c r="P24" s="5"/>
      <c r="Q24" s="5"/>
      <c r="R24" s="5"/>
      <c r="S24" s="48"/>
      <c r="T24" s="48" t="s">
        <v>639</v>
      </c>
      <c r="U24" s="22" t="s">
        <v>131</v>
      </c>
      <c r="V24" s="5" t="s">
        <v>516</v>
      </c>
      <c r="W24" s="5" t="s">
        <v>531</v>
      </c>
      <c r="X24" s="5"/>
      <c r="Y24" s="5" t="s">
        <v>40</v>
      </c>
      <c r="Z24" s="5"/>
      <c r="AA24" s="5"/>
      <c r="AB24" s="5" t="s">
        <v>41</v>
      </c>
      <c r="AC24" s="5">
        <v>29</v>
      </c>
      <c r="AD24" s="5" t="s">
        <v>302</v>
      </c>
    </row>
    <row r="25" spans="1:30" s="6" customFormat="1" x14ac:dyDescent="0.2">
      <c r="A25" s="13">
        <v>23</v>
      </c>
      <c r="B25" s="5" t="s">
        <v>548</v>
      </c>
      <c r="C25" s="5"/>
      <c r="D25" s="5" t="s">
        <v>38</v>
      </c>
      <c r="E25" s="5" t="s">
        <v>122</v>
      </c>
      <c r="F25" s="5"/>
      <c r="G25" s="5"/>
      <c r="H25" s="5">
        <v>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48"/>
      <c r="T25" s="48" t="s">
        <v>639</v>
      </c>
      <c r="U25" s="22" t="s">
        <v>131</v>
      </c>
      <c r="V25" s="5" t="s">
        <v>516</v>
      </c>
      <c r="W25" s="5" t="s">
        <v>532</v>
      </c>
      <c r="X25" s="5"/>
      <c r="Y25" s="5" t="s">
        <v>254</v>
      </c>
      <c r="Z25" s="5"/>
      <c r="AA25" s="5"/>
      <c r="AB25" s="5" t="s">
        <v>41</v>
      </c>
      <c r="AC25" s="5">
        <v>30</v>
      </c>
      <c r="AD25" s="5" t="s">
        <v>303</v>
      </c>
    </row>
    <row r="26" spans="1:30" s="6" customFormat="1" x14ac:dyDescent="0.2">
      <c r="A26" s="13">
        <v>24</v>
      </c>
      <c r="B26" s="5" t="s">
        <v>548</v>
      </c>
      <c r="C26" s="5"/>
      <c r="D26" s="5" t="s">
        <v>38</v>
      </c>
      <c r="E26" s="5" t="s">
        <v>122</v>
      </c>
      <c r="F26" s="5"/>
      <c r="G26" s="5"/>
      <c r="H26" s="5">
        <v>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48"/>
      <c r="T26" s="48" t="s">
        <v>639</v>
      </c>
      <c r="U26" s="22" t="s">
        <v>131</v>
      </c>
      <c r="V26" s="5" t="s">
        <v>516</v>
      </c>
      <c r="W26" s="5" t="s">
        <v>533</v>
      </c>
      <c r="X26" s="5"/>
      <c r="Y26" s="5" t="s">
        <v>255</v>
      </c>
      <c r="Z26" s="5"/>
      <c r="AA26" s="5"/>
      <c r="AB26" s="5" t="s">
        <v>41</v>
      </c>
      <c r="AC26" s="5">
        <v>30</v>
      </c>
      <c r="AD26" s="5" t="s">
        <v>304</v>
      </c>
    </row>
    <row r="27" spans="1:30" s="6" customFormat="1" x14ac:dyDescent="0.2">
      <c r="A27" s="13">
        <v>25</v>
      </c>
      <c r="B27" s="5" t="s">
        <v>548</v>
      </c>
      <c r="C27" s="5"/>
      <c r="D27" s="5" t="s">
        <v>42</v>
      </c>
      <c r="E27" s="5" t="s">
        <v>122</v>
      </c>
      <c r="F27" s="5"/>
      <c r="G27" s="5" t="s">
        <v>17</v>
      </c>
      <c r="H27" s="5" t="s">
        <v>43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48"/>
      <c r="T27" s="48" t="s">
        <v>639</v>
      </c>
      <c r="U27" s="47">
        <v>10</v>
      </c>
      <c r="V27" s="5"/>
      <c r="W27" s="5"/>
      <c r="X27" s="5" t="s">
        <v>44</v>
      </c>
      <c r="Y27" s="5" t="s">
        <v>44</v>
      </c>
      <c r="Z27" s="5"/>
      <c r="AA27" s="5"/>
      <c r="AB27" s="5" t="s">
        <v>45</v>
      </c>
      <c r="AC27" s="5">
        <v>31</v>
      </c>
      <c r="AD27" s="5" t="s">
        <v>305</v>
      </c>
    </row>
    <row r="28" spans="1:30" s="6" customFormat="1" x14ac:dyDescent="0.2">
      <c r="A28" s="13">
        <v>26</v>
      </c>
      <c r="B28" s="5" t="s">
        <v>48</v>
      </c>
      <c r="C28" s="5"/>
      <c r="D28" s="5" t="s">
        <v>38</v>
      </c>
      <c r="E28" s="5" t="s">
        <v>378</v>
      </c>
      <c r="F28" s="5"/>
      <c r="G28" s="5"/>
      <c r="H28" s="5"/>
      <c r="I28" s="5"/>
      <c r="J28" s="5"/>
      <c r="K28" s="5" t="s">
        <v>133</v>
      </c>
      <c r="L28" s="5"/>
      <c r="M28" s="5"/>
      <c r="N28" s="5"/>
      <c r="O28" s="5">
        <v>4</v>
      </c>
      <c r="P28" s="5"/>
      <c r="Q28" s="5"/>
      <c r="R28" s="5" t="s">
        <v>335</v>
      </c>
      <c r="S28" s="48"/>
      <c r="T28" s="48"/>
      <c r="U28" s="22"/>
      <c r="V28" s="5" t="s">
        <v>539</v>
      </c>
      <c r="W28" s="5">
        <v>3</v>
      </c>
      <c r="X28" s="5"/>
      <c r="Y28" s="5" t="s">
        <v>51</v>
      </c>
      <c r="Z28" s="5"/>
      <c r="AA28" s="5"/>
      <c r="AB28" s="5" t="s">
        <v>41</v>
      </c>
      <c r="AC28" s="5">
        <v>19</v>
      </c>
      <c r="AD28" s="5" t="s">
        <v>379</v>
      </c>
    </row>
    <row r="29" spans="1:30" s="6" customFormat="1" x14ac:dyDescent="0.2">
      <c r="A29" s="13">
        <v>27</v>
      </c>
      <c r="B29" s="5" t="s">
        <v>48</v>
      </c>
      <c r="C29" s="5"/>
      <c r="D29" s="5" t="s">
        <v>380</v>
      </c>
      <c r="E29" s="5"/>
      <c r="F29" s="5"/>
      <c r="G29" s="5"/>
      <c r="H29" s="5"/>
      <c r="I29" s="5"/>
      <c r="J29" s="5"/>
      <c r="K29" s="5" t="s">
        <v>133</v>
      </c>
      <c r="L29" s="5"/>
      <c r="M29" s="5"/>
      <c r="N29" s="5"/>
      <c r="O29" s="5">
        <v>4</v>
      </c>
      <c r="P29" s="5"/>
      <c r="Q29" s="5"/>
      <c r="R29" s="5" t="s">
        <v>335</v>
      </c>
      <c r="S29" s="48" t="s">
        <v>644</v>
      </c>
      <c r="T29" s="48"/>
      <c r="U29" s="22"/>
      <c r="V29" s="5"/>
      <c r="W29" s="5"/>
      <c r="X29" s="5" t="s">
        <v>25</v>
      </c>
      <c r="Y29" s="5" t="s">
        <v>25</v>
      </c>
      <c r="Z29" s="5"/>
      <c r="AA29" s="5"/>
      <c r="AB29" s="5"/>
      <c r="AC29" s="5">
        <v>19</v>
      </c>
      <c r="AD29" s="5" t="s">
        <v>379</v>
      </c>
    </row>
    <row r="30" spans="1:30" s="6" customFormat="1" x14ac:dyDescent="0.2">
      <c r="A30" s="13">
        <v>28</v>
      </c>
      <c r="B30" s="5" t="s">
        <v>48</v>
      </c>
      <c r="C30" s="5"/>
      <c r="D30" s="5" t="s">
        <v>380</v>
      </c>
      <c r="E30" s="5"/>
      <c r="F30" s="5"/>
      <c r="G30" s="5"/>
      <c r="H30" s="5"/>
      <c r="I30" s="5"/>
      <c r="J30" s="5"/>
      <c r="K30" s="5" t="s">
        <v>133</v>
      </c>
      <c r="L30" s="5"/>
      <c r="M30" s="5"/>
      <c r="N30" s="5"/>
      <c r="O30" s="5">
        <v>3</v>
      </c>
      <c r="P30" s="5"/>
      <c r="Q30" s="5"/>
      <c r="R30" s="5" t="s">
        <v>335</v>
      </c>
      <c r="S30" s="48" t="s">
        <v>644</v>
      </c>
      <c r="T30" s="48"/>
      <c r="U30" s="22"/>
      <c r="V30" s="5"/>
      <c r="W30" s="5"/>
      <c r="X30" s="5" t="s">
        <v>19</v>
      </c>
      <c r="Y30" s="5" t="s">
        <v>19</v>
      </c>
      <c r="Z30" s="5">
        <v>1</v>
      </c>
      <c r="AA30" s="5" t="s">
        <v>81</v>
      </c>
      <c r="AB30" s="5" t="s">
        <v>381</v>
      </c>
      <c r="AC30" s="5">
        <v>20</v>
      </c>
      <c r="AD30" s="5" t="s">
        <v>379</v>
      </c>
    </row>
    <row r="31" spans="1:30" s="6" customFormat="1" x14ac:dyDescent="0.2">
      <c r="A31" s="13">
        <v>29</v>
      </c>
      <c r="B31" s="5" t="s">
        <v>48</v>
      </c>
      <c r="C31" s="5"/>
      <c r="D31" s="5" t="s">
        <v>380</v>
      </c>
      <c r="E31" s="5"/>
      <c r="F31" s="5"/>
      <c r="G31" s="5"/>
      <c r="H31" s="5"/>
      <c r="I31" s="5"/>
      <c r="J31" s="5"/>
      <c r="K31" s="5" t="s">
        <v>133</v>
      </c>
      <c r="L31" s="5"/>
      <c r="M31" s="5"/>
      <c r="N31" s="5"/>
      <c r="O31" s="5" t="s">
        <v>131</v>
      </c>
      <c r="P31" s="5"/>
      <c r="Q31" s="5"/>
      <c r="R31" s="5" t="s">
        <v>335</v>
      </c>
      <c r="S31" s="48"/>
      <c r="T31" s="48"/>
      <c r="U31" s="22"/>
      <c r="V31" s="5"/>
      <c r="W31" s="5"/>
      <c r="X31" s="5" t="s">
        <v>19</v>
      </c>
      <c r="Y31" s="5" t="s">
        <v>19</v>
      </c>
      <c r="Z31" s="5">
        <v>1</v>
      </c>
      <c r="AA31" s="5" t="s">
        <v>81</v>
      </c>
      <c r="AB31" s="5" t="s">
        <v>381</v>
      </c>
      <c r="AC31" s="5">
        <v>20</v>
      </c>
      <c r="AD31" s="5" t="s">
        <v>379</v>
      </c>
    </row>
    <row r="32" spans="1:30" s="6" customFormat="1" x14ac:dyDescent="0.2">
      <c r="A32" s="13">
        <v>30</v>
      </c>
      <c r="B32" s="5" t="s">
        <v>48</v>
      </c>
      <c r="C32" s="5"/>
      <c r="D32" s="31" t="s">
        <v>385</v>
      </c>
      <c r="E32" s="5"/>
      <c r="F32" s="5"/>
      <c r="G32" s="5"/>
      <c r="H32" s="5"/>
      <c r="I32" s="5"/>
      <c r="J32" s="5"/>
      <c r="K32" s="5" t="s">
        <v>133</v>
      </c>
      <c r="L32" s="5"/>
      <c r="M32" s="5"/>
      <c r="N32" s="5"/>
      <c r="O32" s="5" t="s">
        <v>64</v>
      </c>
      <c r="P32" s="5"/>
      <c r="Q32" s="5"/>
      <c r="R32" s="5" t="s">
        <v>344</v>
      </c>
      <c r="S32" s="48"/>
      <c r="T32" s="38" t="s">
        <v>626</v>
      </c>
      <c r="U32" s="22" t="s">
        <v>616</v>
      </c>
      <c r="V32" s="5"/>
      <c r="W32" s="5"/>
      <c r="X32" s="5" t="s">
        <v>37</v>
      </c>
      <c r="Y32" s="5" t="s">
        <v>37</v>
      </c>
      <c r="Z32" s="5"/>
      <c r="AA32" s="5"/>
      <c r="AB32" s="5"/>
      <c r="AC32" s="5">
        <v>20</v>
      </c>
      <c r="AD32" s="5" t="s">
        <v>386</v>
      </c>
    </row>
    <row r="33" spans="1:30" s="6" customFormat="1" x14ac:dyDescent="0.2">
      <c r="A33" s="13">
        <v>31</v>
      </c>
      <c r="B33" s="5" t="s">
        <v>48</v>
      </c>
      <c r="C33" s="5"/>
      <c r="D33" s="31" t="s">
        <v>385</v>
      </c>
      <c r="E33" s="5"/>
      <c r="F33" s="5"/>
      <c r="G33" s="5"/>
      <c r="H33" s="5" t="s">
        <v>77</v>
      </c>
      <c r="I33" s="5"/>
      <c r="J33" s="5"/>
      <c r="K33" s="5" t="s">
        <v>133</v>
      </c>
      <c r="L33" s="5"/>
      <c r="M33" s="5"/>
      <c r="N33" s="5"/>
      <c r="O33" s="5" t="s">
        <v>64</v>
      </c>
      <c r="P33" s="5"/>
      <c r="Q33" s="5"/>
      <c r="R33" s="5" t="s">
        <v>335</v>
      </c>
      <c r="S33" s="48"/>
      <c r="T33" s="48"/>
      <c r="U33" s="22"/>
      <c r="V33" s="5" t="s">
        <v>516</v>
      </c>
      <c r="W33" s="5" t="s">
        <v>531</v>
      </c>
      <c r="X33" s="5"/>
      <c r="Y33" s="5" t="s">
        <v>257</v>
      </c>
      <c r="Z33" s="5"/>
      <c r="AA33" s="5"/>
      <c r="AB33" s="5"/>
      <c r="AC33" s="5">
        <v>20</v>
      </c>
      <c r="AD33" s="5" t="s">
        <v>386</v>
      </c>
    </row>
    <row r="34" spans="1:30" s="6" customFormat="1" x14ac:dyDescent="0.2">
      <c r="A34" s="13">
        <v>32</v>
      </c>
      <c r="B34" s="5" t="s">
        <v>48</v>
      </c>
      <c r="C34" s="5"/>
      <c r="D34" s="31" t="s">
        <v>385</v>
      </c>
      <c r="E34" s="5"/>
      <c r="F34" s="5"/>
      <c r="G34" s="5"/>
      <c r="H34" s="5">
        <v>5</v>
      </c>
      <c r="I34" s="5"/>
      <c r="J34" s="5"/>
      <c r="K34" s="5" t="s">
        <v>133</v>
      </c>
      <c r="L34" s="5"/>
      <c r="M34" s="5"/>
      <c r="N34" s="5"/>
      <c r="O34" s="5" t="s">
        <v>64</v>
      </c>
      <c r="P34" s="5"/>
      <c r="Q34" s="5"/>
      <c r="R34" s="5" t="s">
        <v>335</v>
      </c>
      <c r="S34" s="48"/>
      <c r="T34" s="48" t="s">
        <v>639</v>
      </c>
      <c r="U34" s="22" t="s">
        <v>43</v>
      </c>
      <c r="V34" s="5" t="s">
        <v>516</v>
      </c>
      <c r="W34" s="5" t="s">
        <v>531</v>
      </c>
      <c r="X34" s="5"/>
      <c r="Y34" s="5" t="s">
        <v>257</v>
      </c>
      <c r="Z34" s="5"/>
      <c r="AA34" s="5"/>
      <c r="AB34" s="5"/>
      <c r="AC34" s="5">
        <v>20</v>
      </c>
      <c r="AD34" s="5" t="s">
        <v>386</v>
      </c>
    </row>
    <row r="35" spans="1:30" s="6" customFormat="1" x14ac:dyDescent="0.2">
      <c r="A35" s="13">
        <v>33</v>
      </c>
      <c r="B35" s="5" t="s">
        <v>48</v>
      </c>
      <c r="C35" s="5"/>
      <c r="D35" s="31" t="s">
        <v>297</v>
      </c>
      <c r="E35" s="5"/>
      <c r="F35" s="5"/>
      <c r="G35" s="5"/>
      <c r="H35" s="5" t="s">
        <v>63</v>
      </c>
      <c r="I35" s="5"/>
      <c r="J35" s="5"/>
      <c r="K35" s="5" t="s">
        <v>133</v>
      </c>
      <c r="L35" s="5"/>
      <c r="M35" s="5"/>
      <c r="N35" s="5"/>
      <c r="O35" s="5" t="s">
        <v>131</v>
      </c>
      <c r="P35" s="5"/>
      <c r="Q35" s="5"/>
      <c r="R35" s="5" t="s">
        <v>344</v>
      </c>
      <c r="S35" s="48"/>
      <c r="T35" s="48" t="s">
        <v>639</v>
      </c>
      <c r="U35" s="22" t="s">
        <v>63</v>
      </c>
      <c r="V35" s="5"/>
      <c r="W35" s="5"/>
      <c r="X35" s="5" t="s">
        <v>72</v>
      </c>
      <c r="Y35" s="5" t="s">
        <v>72</v>
      </c>
      <c r="Z35" s="5"/>
      <c r="AA35" s="5"/>
      <c r="AB35" s="5" t="s">
        <v>298</v>
      </c>
      <c r="AC35" s="5">
        <v>20</v>
      </c>
      <c r="AD35" s="5" t="s">
        <v>386</v>
      </c>
    </row>
    <row r="36" spans="1:30" s="6" customFormat="1" x14ac:dyDescent="0.2">
      <c r="A36" s="13">
        <v>34</v>
      </c>
      <c r="B36" s="5" t="s">
        <v>48</v>
      </c>
      <c r="C36" s="5"/>
      <c r="D36" s="31" t="s">
        <v>297</v>
      </c>
      <c r="E36" s="5"/>
      <c r="F36" s="5"/>
      <c r="G36" s="5"/>
      <c r="H36" s="5" t="s">
        <v>63</v>
      </c>
      <c r="I36" s="5"/>
      <c r="J36" s="5"/>
      <c r="K36" s="5" t="s">
        <v>133</v>
      </c>
      <c r="L36" s="5"/>
      <c r="M36" s="5"/>
      <c r="N36" s="5"/>
      <c r="O36" s="5" t="s">
        <v>131</v>
      </c>
      <c r="P36" s="5"/>
      <c r="Q36" s="5"/>
      <c r="R36" s="5" t="s">
        <v>335</v>
      </c>
      <c r="S36" s="48"/>
      <c r="T36" s="48" t="s">
        <v>639</v>
      </c>
      <c r="U36" s="22" t="s">
        <v>63</v>
      </c>
      <c r="V36" s="5" t="s">
        <v>516</v>
      </c>
      <c r="W36" s="5" t="s">
        <v>532</v>
      </c>
      <c r="X36" s="5"/>
      <c r="Y36" s="5" t="s">
        <v>254</v>
      </c>
      <c r="Z36" s="5"/>
      <c r="AA36" s="5"/>
      <c r="AB36" s="5" t="s">
        <v>298</v>
      </c>
      <c r="AC36" s="5">
        <v>20</v>
      </c>
      <c r="AD36" s="5" t="s">
        <v>386</v>
      </c>
    </row>
    <row r="37" spans="1:30" s="6" customFormat="1" x14ac:dyDescent="0.2">
      <c r="A37" s="13">
        <v>35</v>
      </c>
      <c r="B37" s="5" t="s">
        <v>48</v>
      </c>
      <c r="C37" s="5"/>
      <c r="D37" s="31" t="s">
        <v>387</v>
      </c>
      <c r="E37" s="5"/>
      <c r="F37" s="5"/>
      <c r="G37" s="5"/>
      <c r="H37" s="5"/>
      <c r="I37" s="5"/>
      <c r="J37" s="5"/>
      <c r="K37" s="5" t="s">
        <v>133</v>
      </c>
      <c r="L37" s="5"/>
      <c r="M37" s="5"/>
      <c r="N37" s="5"/>
      <c r="O37" s="5" t="s">
        <v>64</v>
      </c>
      <c r="P37" s="5"/>
      <c r="Q37" s="5"/>
      <c r="R37" s="5" t="s">
        <v>335</v>
      </c>
      <c r="S37" s="48"/>
      <c r="T37" s="48"/>
      <c r="U37" s="22"/>
      <c r="V37" s="5"/>
      <c r="W37" s="5"/>
      <c r="X37" s="5" t="s">
        <v>27</v>
      </c>
      <c r="Y37" s="5" t="s">
        <v>27</v>
      </c>
      <c r="Z37" s="5"/>
      <c r="AA37" s="5"/>
      <c r="AB37" s="5"/>
      <c r="AC37" s="5">
        <v>20</v>
      </c>
      <c r="AD37" s="5" t="s">
        <v>388</v>
      </c>
    </row>
    <row r="38" spans="1:30" s="6" customFormat="1" x14ac:dyDescent="0.2">
      <c r="A38" s="13">
        <v>36</v>
      </c>
      <c r="B38" s="5" t="s">
        <v>48</v>
      </c>
      <c r="C38" s="5"/>
      <c r="D38" s="5" t="s">
        <v>46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 t="s">
        <v>47</v>
      </c>
      <c r="P38" s="5"/>
      <c r="Q38" s="5"/>
      <c r="R38" s="5" t="s">
        <v>335</v>
      </c>
      <c r="S38" s="48"/>
      <c r="T38" s="48"/>
      <c r="U38" s="22"/>
      <c r="V38" s="5" t="s">
        <v>539</v>
      </c>
      <c r="W38" s="5">
        <v>2</v>
      </c>
      <c r="X38" s="5"/>
      <c r="Y38" s="5" t="s">
        <v>40</v>
      </c>
      <c r="Z38" s="5"/>
      <c r="AA38" s="5"/>
      <c r="AB38" s="5"/>
      <c r="AC38" s="5">
        <v>17</v>
      </c>
      <c r="AD38" s="5" t="s">
        <v>48</v>
      </c>
    </row>
    <row r="39" spans="1:30" s="6" customFormat="1" x14ac:dyDescent="0.2">
      <c r="A39" s="13">
        <v>37</v>
      </c>
      <c r="B39" s="5" t="s">
        <v>48</v>
      </c>
      <c r="C39" s="5"/>
      <c r="D39" s="5" t="s">
        <v>49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3</v>
      </c>
      <c r="P39" s="5"/>
      <c r="Q39" s="5"/>
      <c r="R39" s="5" t="s">
        <v>335</v>
      </c>
      <c r="S39" s="48"/>
      <c r="T39" s="48"/>
      <c r="U39" s="22"/>
      <c r="V39" s="5"/>
      <c r="W39" s="5"/>
      <c r="X39" s="5" t="s">
        <v>25</v>
      </c>
      <c r="Y39" s="5" t="s">
        <v>25</v>
      </c>
      <c r="Z39" s="5">
        <v>1</v>
      </c>
      <c r="AA39" s="5" t="s">
        <v>81</v>
      </c>
      <c r="AB39" s="5" t="s">
        <v>50</v>
      </c>
      <c r="AC39" s="5">
        <v>17</v>
      </c>
      <c r="AD39" s="5" t="s">
        <v>48</v>
      </c>
    </row>
    <row r="40" spans="1:30" s="6" customFormat="1" x14ac:dyDescent="0.2">
      <c r="A40" s="13">
        <v>38</v>
      </c>
      <c r="B40" s="5" t="s">
        <v>48</v>
      </c>
      <c r="C40" s="5"/>
      <c r="D40" s="5" t="s">
        <v>49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</v>
      </c>
      <c r="P40" s="5"/>
      <c r="Q40" s="5"/>
      <c r="R40" s="5" t="s">
        <v>335</v>
      </c>
      <c r="S40" s="48"/>
      <c r="T40" s="48"/>
      <c r="U40" s="22"/>
      <c r="V40" s="5" t="s">
        <v>539</v>
      </c>
      <c r="W40" s="5">
        <v>3</v>
      </c>
      <c r="X40" s="5"/>
      <c r="Y40" s="5" t="s">
        <v>51</v>
      </c>
      <c r="Z40" s="5"/>
      <c r="AA40" s="5"/>
      <c r="AB40" s="5"/>
      <c r="AC40" s="5">
        <v>17</v>
      </c>
      <c r="AD40" s="5" t="s">
        <v>48</v>
      </c>
    </row>
    <row r="41" spans="1:30" s="6" customFormat="1" x14ac:dyDescent="0.2">
      <c r="A41" s="13">
        <v>39</v>
      </c>
      <c r="B41" s="5" t="s">
        <v>48</v>
      </c>
      <c r="C41" s="5"/>
      <c r="D41" s="31" t="s">
        <v>275</v>
      </c>
      <c r="E41" s="5"/>
      <c r="F41" s="5"/>
      <c r="G41" s="5" t="s">
        <v>52</v>
      </c>
      <c r="H41" s="5" t="s">
        <v>63</v>
      </c>
      <c r="I41" s="5"/>
      <c r="J41" s="5"/>
      <c r="K41" s="5"/>
      <c r="L41" s="5"/>
      <c r="M41" s="5"/>
      <c r="N41" s="5"/>
      <c r="O41" s="5" t="s">
        <v>47</v>
      </c>
      <c r="P41" s="5"/>
      <c r="Q41" s="5"/>
      <c r="R41" s="5" t="s">
        <v>335</v>
      </c>
      <c r="S41" s="48"/>
      <c r="T41" s="48"/>
      <c r="U41" s="22"/>
      <c r="V41" s="5"/>
      <c r="W41" s="5"/>
      <c r="X41" s="5" t="s">
        <v>12</v>
      </c>
      <c r="Y41" s="5" t="s">
        <v>12</v>
      </c>
      <c r="Z41" s="5"/>
      <c r="AA41" s="5" t="s">
        <v>20</v>
      </c>
      <c r="AB41" s="5"/>
      <c r="AC41" s="5">
        <v>17</v>
      </c>
      <c r="AD41" s="5" t="s">
        <v>48</v>
      </c>
    </row>
    <row r="42" spans="1:30" s="6" customFormat="1" x14ac:dyDescent="0.2">
      <c r="A42" s="13">
        <v>40</v>
      </c>
      <c r="B42" s="5" t="s">
        <v>48</v>
      </c>
      <c r="C42" s="5"/>
      <c r="D42" s="31" t="s">
        <v>275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 t="s">
        <v>47</v>
      </c>
      <c r="P42" s="5"/>
      <c r="Q42" s="5"/>
      <c r="R42" s="5" t="s">
        <v>335</v>
      </c>
      <c r="S42" s="48"/>
      <c r="T42" s="48"/>
      <c r="U42" s="22"/>
      <c r="V42" s="5"/>
      <c r="W42" s="5"/>
      <c r="X42" s="5" t="s">
        <v>19</v>
      </c>
      <c r="Y42" s="5" t="s">
        <v>19</v>
      </c>
      <c r="Z42" s="5"/>
      <c r="AA42" s="5" t="s">
        <v>20</v>
      </c>
      <c r="AB42" s="5"/>
      <c r="AC42" s="5">
        <v>17</v>
      </c>
      <c r="AD42" s="5" t="s">
        <v>48</v>
      </c>
    </row>
    <row r="43" spans="1:30" s="6" customFormat="1" x14ac:dyDescent="0.2">
      <c r="A43" s="13">
        <v>41</v>
      </c>
      <c r="B43" s="5" t="s">
        <v>48</v>
      </c>
      <c r="C43" s="5"/>
      <c r="D43" s="5" t="s">
        <v>53</v>
      </c>
      <c r="E43" s="5" t="s">
        <v>497</v>
      </c>
      <c r="F43" s="5"/>
      <c r="G43" s="5"/>
      <c r="H43" s="5"/>
      <c r="I43" s="5"/>
      <c r="J43" s="5"/>
      <c r="K43" s="5"/>
      <c r="L43" s="5"/>
      <c r="M43" s="5"/>
      <c r="N43" s="5"/>
      <c r="O43" s="5">
        <v>4</v>
      </c>
      <c r="P43" s="5"/>
      <c r="Q43" s="5"/>
      <c r="R43" s="5" t="s">
        <v>335</v>
      </c>
      <c r="S43" s="48"/>
      <c r="T43" s="48"/>
      <c r="U43" s="22"/>
      <c r="V43" s="5"/>
      <c r="W43" s="5"/>
      <c r="X43" s="5" t="s">
        <v>44</v>
      </c>
      <c r="Y43" s="5" t="s">
        <v>44</v>
      </c>
      <c r="Z43" s="5">
        <v>1</v>
      </c>
      <c r="AA43" s="5" t="s">
        <v>81</v>
      </c>
      <c r="AB43" s="5" t="s">
        <v>54</v>
      </c>
      <c r="AC43" s="5">
        <v>18</v>
      </c>
      <c r="AD43" s="5" t="s">
        <v>48</v>
      </c>
    </row>
    <row r="44" spans="1:30" s="6" customFormat="1" x14ac:dyDescent="0.2">
      <c r="A44" s="13">
        <v>42</v>
      </c>
      <c r="B44" s="5" t="s">
        <v>48</v>
      </c>
      <c r="C44" s="5"/>
      <c r="D44" s="5" t="s">
        <v>55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5</v>
      </c>
      <c r="P44" s="5"/>
      <c r="Q44" s="5"/>
      <c r="R44" s="5" t="s">
        <v>335</v>
      </c>
      <c r="S44" s="48"/>
      <c r="T44" s="48"/>
      <c r="U44" s="22"/>
      <c r="V44" s="5" t="s">
        <v>539</v>
      </c>
      <c r="W44" s="5">
        <v>4</v>
      </c>
      <c r="X44" s="5"/>
      <c r="Y44" s="5" t="s">
        <v>56</v>
      </c>
      <c r="Z44" s="5"/>
      <c r="AA44" s="5"/>
      <c r="AB44" s="5"/>
      <c r="AC44" s="5">
        <v>18</v>
      </c>
      <c r="AD44" s="5" t="s">
        <v>48</v>
      </c>
    </row>
    <row r="45" spans="1:30" s="6" customFormat="1" x14ac:dyDescent="0.2">
      <c r="A45" s="13">
        <v>43</v>
      </c>
      <c r="B45" s="5" t="s">
        <v>48</v>
      </c>
      <c r="C45" s="5"/>
      <c r="D45" s="5" t="s">
        <v>53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5</v>
      </c>
      <c r="P45" s="5"/>
      <c r="Q45" s="5"/>
      <c r="R45" s="5" t="s">
        <v>335</v>
      </c>
      <c r="S45" s="48"/>
      <c r="T45" s="38" t="s">
        <v>626</v>
      </c>
      <c r="U45" s="47" t="s">
        <v>627</v>
      </c>
      <c r="V45" s="5"/>
      <c r="W45" s="5"/>
      <c r="X45" s="5" t="s">
        <v>58</v>
      </c>
      <c r="Y45" s="5" t="s">
        <v>58</v>
      </c>
      <c r="Z45" s="5">
        <v>1</v>
      </c>
      <c r="AA45" s="5" t="s">
        <v>81</v>
      </c>
      <c r="AB45" s="5" t="s">
        <v>59</v>
      </c>
      <c r="AC45" s="5">
        <v>17</v>
      </c>
      <c r="AD45" s="5" t="s">
        <v>48</v>
      </c>
    </row>
    <row r="46" spans="1:30" s="6" customFormat="1" x14ac:dyDescent="0.2">
      <c r="A46" s="13">
        <v>44</v>
      </c>
      <c r="B46" s="5" t="s">
        <v>48</v>
      </c>
      <c r="C46" s="5"/>
      <c r="D46" s="5" t="s">
        <v>53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5</v>
      </c>
      <c r="P46" s="5"/>
      <c r="Q46" s="5"/>
      <c r="R46" s="5" t="s">
        <v>335</v>
      </c>
      <c r="S46" s="48"/>
      <c r="T46" s="38" t="s">
        <v>626</v>
      </c>
      <c r="U46" s="22" t="s">
        <v>628</v>
      </c>
      <c r="V46" s="5"/>
      <c r="W46" s="5"/>
      <c r="X46" s="5" t="s">
        <v>60</v>
      </c>
      <c r="Y46" s="5" t="s">
        <v>60</v>
      </c>
      <c r="Z46" s="5">
        <v>1</v>
      </c>
      <c r="AA46" s="5" t="s">
        <v>81</v>
      </c>
      <c r="AB46" s="5" t="s">
        <v>59</v>
      </c>
      <c r="AC46" s="5">
        <v>17</v>
      </c>
      <c r="AD46" s="5" t="s">
        <v>48</v>
      </c>
    </row>
    <row r="47" spans="1:30" s="6" customFormat="1" x14ac:dyDescent="0.2">
      <c r="A47" s="13">
        <v>45</v>
      </c>
      <c r="B47" s="5" t="s">
        <v>48</v>
      </c>
      <c r="C47" s="5"/>
      <c r="D47" s="5" t="s">
        <v>53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</v>
      </c>
      <c r="P47" s="5"/>
      <c r="Q47" s="5"/>
      <c r="R47" s="5" t="s">
        <v>343</v>
      </c>
      <c r="S47" s="48"/>
      <c r="T47" s="38" t="s">
        <v>626</v>
      </c>
      <c r="U47" s="47" t="s">
        <v>629</v>
      </c>
      <c r="V47" s="5"/>
      <c r="W47" s="5"/>
      <c r="X47" s="5" t="s">
        <v>61</v>
      </c>
      <c r="Y47" s="5" t="s">
        <v>61</v>
      </c>
      <c r="Z47" s="5">
        <v>1</v>
      </c>
      <c r="AA47" s="5" t="s">
        <v>81</v>
      </c>
      <c r="AB47" s="5" t="s">
        <v>59</v>
      </c>
      <c r="AC47" s="5">
        <v>17</v>
      </c>
      <c r="AD47" s="5" t="s">
        <v>48</v>
      </c>
    </row>
    <row r="48" spans="1:30" s="6" customFormat="1" x14ac:dyDescent="0.2">
      <c r="A48" s="13">
        <v>46</v>
      </c>
      <c r="B48" s="5" t="s">
        <v>48</v>
      </c>
      <c r="C48" s="5"/>
      <c r="D48" s="5" t="s">
        <v>53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5</v>
      </c>
      <c r="P48" s="5"/>
      <c r="Q48" s="5"/>
      <c r="R48" s="5" t="s">
        <v>344</v>
      </c>
      <c r="S48" s="48"/>
      <c r="T48" s="38" t="s">
        <v>626</v>
      </c>
      <c r="U48" s="22" t="s">
        <v>630</v>
      </c>
      <c r="V48" s="5"/>
      <c r="W48" s="5"/>
      <c r="X48" s="5" t="s">
        <v>62</v>
      </c>
      <c r="Y48" s="5" t="s">
        <v>62</v>
      </c>
      <c r="Z48" s="5">
        <v>1</v>
      </c>
      <c r="AA48" s="5" t="s">
        <v>81</v>
      </c>
      <c r="AB48" s="5" t="s">
        <v>59</v>
      </c>
      <c r="AC48" s="5">
        <v>17</v>
      </c>
      <c r="AD48" s="5" t="s">
        <v>48</v>
      </c>
    </row>
    <row r="49" spans="1:30" s="6" customFormat="1" x14ac:dyDescent="0.2">
      <c r="A49" s="13">
        <v>47</v>
      </c>
      <c r="B49" s="5" t="s">
        <v>48</v>
      </c>
      <c r="C49" s="5"/>
      <c r="D49" s="31" t="s">
        <v>275</v>
      </c>
      <c r="E49" s="5"/>
      <c r="F49" s="5"/>
      <c r="G49" s="5" t="s">
        <v>242</v>
      </c>
      <c r="H49" s="5" t="s">
        <v>63</v>
      </c>
      <c r="I49" s="5"/>
      <c r="J49" s="5"/>
      <c r="K49" s="5"/>
      <c r="L49" s="5"/>
      <c r="M49" s="5"/>
      <c r="N49" s="5"/>
      <c r="O49" s="5" t="s">
        <v>64</v>
      </c>
      <c r="P49" s="5"/>
      <c r="Q49" s="5"/>
      <c r="R49" s="5" t="s">
        <v>343</v>
      </c>
      <c r="S49" s="48"/>
      <c r="T49" s="48"/>
      <c r="U49" s="22"/>
      <c r="V49" s="5"/>
      <c r="W49" s="5"/>
      <c r="X49" s="5" t="s">
        <v>65</v>
      </c>
      <c r="Y49" s="5" t="s">
        <v>65</v>
      </c>
      <c r="Z49" s="5"/>
      <c r="AA49" s="5"/>
      <c r="AB49" s="5"/>
      <c r="AC49" s="5">
        <v>19</v>
      </c>
      <c r="AD49" s="5" t="s">
        <v>48</v>
      </c>
    </row>
    <row r="50" spans="1:30" s="6" customFormat="1" x14ac:dyDescent="0.2">
      <c r="A50" s="13">
        <v>48</v>
      </c>
      <c r="B50" s="5" t="s">
        <v>48</v>
      </c>
      <c r="C50" s="5"/>
      <c r="D50" s="31" t="s">
        <v>275</v>
      </c>
      <c r="E50" s="5"/>
      <c r="F50" s="5"/>
      <c r="G50" s="5" t="s">
        <v>17</v>
      </c>
      <c r="H50" s="5"/>
      <c r="I50" s="5"/>
      <c r="J50" s="5"/>
      <c r="K50" s="5"/>
      <c r="L50" s="5"/>
      <c r="M50" s="5"/>
      <c r="N50" s="5"/>
      <c r="O50" s="5" t="s">
        <v>64</v>
      </c>
      <c r="P50" s="5"/>
      <c r="Q50" s="5"/>
      <c r="R50" s="5" t="s">
        <v>335</v>
      </c>
      <c r="S50" s="48"/>
      <c r="T50" s="48"/>
      <c r="U50" s="22"/>
      <c r="V50" s="5" t="s">
        <v>516</v>
      </c>
      <c r="W50" s="5" t="s">
        <v>531</v>
      </c>
      <c r="X50" s="5"/>
      <c r="Y50" s="5" t="s">
        <v>66</v>
      </c>
      <c r="Z50" s="5"/>
      <c r="AA50" s="5"/>
      <c r="AB50" s="5"/>
      <c r="AC50" s="5">
        <v>19</v>
      </c>
      <c r="AD50" s="5" t="s">
        <v>48</v>
      </c>
    </row>
    <row r="51" spans="1:30" s="6" customFormat="1" x14ac:dyDescent="0.2">
      <c r="A51" s="13">
        <v>49</v>
      </c>
      <c r="B51" s="5" t="s">
        <v>48</v>
      </c>
      <c r="C51" s="5"/>
      <c r="D51" s="5" t="s">
        <v>67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 t="s">
        <v>64</v>
      </c>
      <c r="P51" s="5"/>
      <c r="Q51" s="5"/>
      <c r="R51" s="5" t="s">
        <v>344</v>
      </c>
      <c r="S51" s="48"/>
      <c r="T51" s="38" t="s">
        <v>626</v>
      </c>
      <c r="U51" s="22" t="s">
        <v>616</v>
      </c>
      <c r="V51" s="5"/>
      <c r="W51" s="5"/>
      <c r="X51" s="5" t="s">
        <v>37</v>
      </c>
      <c r="Y51" s="5" t="s">
        <v>37</v>
      </c>
      <c r="Z51" s="5"/>
      <c r="AA51" s="5" t="s">
        <v>81</v>
      </c>
      <c r="AB51" s="5"/>
      <c r="AC51" s="5">
        <v>19</v>
      </c>
      <c r="AD51" s="5" t="s">
        <v>48</v>
      </c>
    </row>
    <row r="52" spans="1:30" s="6" customFormat="1" x14ac:dyDescent="0.2">
      <c r="A52" s="13">
        <v>50</v>
      </c>
      <c r="B52" s="5" t="s">
        <v>48</v>
      </c>
      <c r="C52" s="5"/>
      <c r="D52" s="5" t="s">
        <v>277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 t="s">
        <v>64</v>
      </c>
      <c r="P52" s="5"/>
      <c r="Q52" s="5"/>
      <c r="R52" s="5" t="s">
        <v>335</v>
      </c>
      <c r="S52" s="48"/>
      <c r="T52" s="48"/>
      <c r="U52" s="22"/>
      <c r="V52" s="5"/>
      <c r="W52" s="5"/>
      <c r="X52" s="5" t="s">
        <v>27</v>
      </c>
      <c r="Y52" s="5" t="s">
        <v>27</v>
      </c>
      <c r="Z52" s="5"/>
      <c r="AA52" s="5"/>
      <c r="AB52" s="5"/>
      <c r="AC52" s="5">
        <v>19</v>
      </c>
      <c r="AD52" s="5" t="s">
        <v>48</v>
      </c>
    </row>
    <row r="53" spans="1:30" s="6" customFormat="1" x14ac:dyDescent="0.2">
      <c r="A53" s="13">
        <v>51</v>
      </c>
      <c r="B53" s="5" t="s">
        <v>48</v>
      </c>
      <c r="C53" s="5"/>
      <c r="D53" s="22" t="s">
        <v>281</v>
      </c>
      <c r="E53" s="5"/>
      <c r="F53" s="5"/>
      <c r="G53" s="5" t="s">
        <v>17</v>
      </c>
      <c r="H53" s="5" t="s">
        <v>63</v>
      </c>
      <c r="I53" s="5" t="s">
        <v>16</v>
      </c>
      <c r="J53" s="5" t="s">
        <v>131</v>
      </c>
      <c r="K53" s="5" t="s">
        <v>133</v>
      </c>
      <c r="L53" s="5"/>
      <c r="M53" s="5"/>
      <c r="N53" s="5"/>
      <c r="O53" s="5"/>
      <c r="P53" s="5"/>
      <c r="Q53" s="5"/>
      <c r="R53" s="5" t="s">
        <v>342</v>
      </c>
      <c r="S53" s="48"/>
      <c r="T53" s="48"/>
      <c r="U53" s="22"/>
      <c r="V53" s="5" t="s">
        <v>516</v>
      </c>
      <c r="W53" s="5" t="s">
        <v>535</v>
      </c>
      <c r="X53" s="5"/>
      <c r="Y53" s="5" t="s">
        <v>34</v>
      </c>
      <c r="Z53" s="5"/>
      <c r="AA53" s="5"/>
      <c r="AB53" s="5"/>
      <c r="AC53" s="5">
        <v>12</v>
      </c>
      <c r="AD53" s="5" t="s">
        <v>306</v>
      </c>
    </row>
    <row r="54" spans="1:30" s="6" customFormat="1" x14ac:dyDescent="0.2">
      <c r="A54" s="13">
        <v>52</v>
      </c>
      <c r="B54" s="5" t="s">
        <v>48</v>
      </c>
      <c r="C54" s="5"/>
      <c r="D54" s="22" t="s">
        <v>282</v>
      </c>
      <c r="E54" s="5"/>
      <c r="F54" s="5"/>
      <c r="G54" s="5" t="s">
        <v>52</v>
      </c>
      <c r="H54" s="5" t="s">
        <v>63</v>
      </c>
      <c r="I54" s="5" t="s">
        <v>16</v>
      </c>
      <c r="J54" s="5">
        <v>4</v>
      </c>
      <c r="K54" s="5" t="s">
        <v>133</v>
      </c>
      <c r="L54" s="5"/>
      <c r="M54" s="5"/>
      <c r="N54" s="5"/>
      <c r="O54" s="5"/>
      <c r="P54" s="5"/>
      <c r="Q54" s="5"/>
      <c r="R54" s="5" t="s">
        <v>340</v>
      </c>
      <c r="S54" s="48"/>
      <c r="T54" s="48"/>
      <c r="U54" s="22"/>
      <c r="V54" s="5"/>
      <c r="W54" s="5"/>
      <c r="X54" s="5" t="s">
        <v>283</v>
      </c>
      <c r="Y54" s="5" t="s">
        <v>283</v>
      </c>
      <c r="Z54" s="5"/>
      <c r="AA54" s="5"/>
      <c r="AB54" s="5"/>
      <c r="AC54" s="5">
        <v>12</v>
      </c>
      <c r="AD54" s="5" t="s">
        <v>306</v>
      </c>
    </row>
    <row r="55" spans="1:30" s="6" customFormat="1" x14ac:dyDescent="0.2">
      <c r="A55" s="13">
        <v>53</v>
      </c>
      <c r="B55" s="5" t="s">
        <v>48</v>
      </c>
      <c r="C55" s="5"/>
      <c r="D55" s="22" t="s">
        <v>282</v>
      </c>
      <c r="E55" s="5"/>
      <c r="F55" s="5"/>
      <c r="G55" s="5" t="s">
        <v>78</v>
      </c>
      <c r="H55" s="5" t="s">
        <v>63</v>
      </c>
      <c r="I55" s="5" t="s">
        <v>16</v>
      </c>
      <c r="J55" s="5">
        <v>4</v>
      </c>
      <c r="K55" s="5" t="s">
        <v>133</v>
      </c>
      <c r="L55" s="5"/>
      <c r="M55" s="5"/>
      <c r="N55" s="5"/>
      <c r="O55" s="5"/>
      <c r="P55" s="5"/>
      <c r="Q55" s="5"/>
      <c r="R55" s="5" t="s">
        <v>341</v>
      </c>
      <c r="S55" s="48"/>
      <c r="T55" s="48"/>
      <c r="U55" s="22"/>
      <c r="V55" s="5"/>
      <c r="W55" s="5"/>
      <c r="X55" s="5" t="s">
        <v>19</v>
      </c>
      <c r="Y55" s="5" t="s">
        <v>19</v>
      </c>
      <c r="Z55" s="5"/>
      <c r="AA55" s="5"/>
      <c r="AB55" s="5"/>
      <c r="AC55" s="5">
        <v>12</v>
      </c>
      <c r="AD55" s="5" t="s">
        <v>306</v>
      </c>
    </row>
    <row r="56" spans="1:30" s="6" customFormat="1" x14ac:dyDescent="0.2">
      <c r="A56" s="13">
        <v>54</v>
      </c>
      <c r="B56" s="5" t="s">
        <v>48</v>
      </c>
      <c r="C56" s="5"/>
      <c r="D56" s="22" t="s">
        <v>284</v>
      </c>
      <c r="E56" s="5">
        <v>4441</v>
      </c>
      <c r="F56" s="5"/>
      <c r="G56" s="5"/>
      <c r="H56" s="5"/>
      <c r="I56" s="5"/>
      <c r="J56" s="5"/>
      <c r="K56" s="5" t="s">
        <v>133</v>
      </c>
      <c r="L56" s="5"/>
      <c r="M56" s="5"/>
      <c r="N56" s="5"/>
      <c r="O56" s="5"/>
      <c r="P56" s="5"/>
      <c r="Q56" s="5"/>
      <c r="R56" s="5" t="s">
        <v>342</v>
      </c>
      <c r="S56" s="48"/>
      <c r="T56" s="48"/>
      <c r="U56" s="22"/>
      <c r="V56" s="1" t="s">
        <v>538</v>
      </c>
      <c r="W56" s="5">
        <v>1</v>
      </c>
      <c r="X56" s="5"/>
      <c r="Y56" s="5" t="s">
        <v>34</v>
      </c>
      <c r="Z56" s="5"/>
      <c r="AA56" s="5"/>
      <c r="AB56" s="5"/>
      <c r="AC56" s="5">
        <v>12</v>
      </c>
      <c r="AD56" s="5" t="s">
        <v>306</v>
      </c>
    </row>
    <row r="57" spans="1:30" s="6" customFormat="1" x14ac:dyDescent="0.2">
      <c r="A57" s="13">
        <v>55</v>
      </c>
      <c r="B57" s="5" t="s">
        <v>48</v>
      </c>
      <c r="C57" s="5"/>
      <c r="D57" s="22" t="s">
        <v>284</v>
      </c>
      <c r="E57" s="5">
        <v>4432</v>
      </c>
      <c r="F57" s="5"/>
      <c r="G57" s="5"/>
      <c r="H57" s="5"/>
      <c r="I57" s="5" t="s">
        <v>16</v>
      </c>
      <c r="J57" s="5">
        <v>4</v>
      </c>
      <c r="K57" s="5" t="s">
        <v>133</v>
      </c>
      <c r="L57" s="5"/>
      <c r="M57" s="5"/>
      <c r="N57" s="5"/>
      <c r="O57" s="5"/>
      <c r="P57" s="5"/>
      <c r="Q57" s="5"/>
      <c r="R57" s="5" t="s">
        <v>342</v>
      </c>
      <c r="S57" s="48"/>
      <c r="T57" s="22"/>
      <c r="U57" s="22"/>
      <c r="V57" s="5" t="s">
        <v>516</v>
      </c>
      <c r="W57" s="5" t="s">
        <v>535</v>
      </c>
      <c r="X57" s="5"/>
      <c r="Y57" s="5" t="s">
        <v>34</v>
      </c>
      <c r="Z57" s="5"/>
      <c r="AA57" s="5"/>
      <c r="AB57" s="5"/>
      <c r="AC57" s="5">
        <v>12</v>
      </c>
      <c r="AD57" s="5" t="s">
        <v>306</v>
      </c>
    </row>
    <row r="58" spans="1:30" s="6" customFormat="1" x14ac:dyDescent="0.2">
      <c r="A58" s="13">
        <v>56</v>
      </c>
      <c r="B58" s="5" t="s">
        <v>48</v>
      </c>
      <c r="C58" s="5"/>
      <c r="D58" s="22" t="s">
        <v>284</v>
      </c>
      <c r="E58" s="5"/>
      <c r="F58" s="5"/>
      <c r="G58" s="5"/>
      <c r="H58" s="5" t="s">
        <v>63</v>
      </c>
      <c r="I58" s="5"/>
      <c r="J58" s="5"/>
      <c r="K58" s="5" t="s">
        <v>133</v>
      </c>
      <c r="L58" s="5"/>
      <c r="M58" s="5"/>
      <c r="N58" s="5"/>
      <c r="O58" s="5"/>
      <c r="P58" s="5"/>
      <c r="Q58" s="5"/>
      <c r="R58" s="5" t="s">
        <v>342</v>
      </c>
      <c r="S58" s="48" t="s">
        <v>645</v>
      </c>
      <c r="T58" s="22"/>
      <c r="U58" s="22"/>
      <c r="V58" s="5" t="s">
        <v>516</v>
      </c>
      <c r="W58" s="5" t="s">
        <v>530</v>
      </c>
      <c r="X58" s="5"/>
      <c r="Y58" s="5" t="s">
        <v>256</v>
      </c>
      <c r="Z58" s="5"/>
      <c r="AA58" s="5"/>
      <c r="AB58" s="5"/>
      <c r="AC58" s="5">
        <v>12</v>
      </c>
      <c r="AD58" s="5" t="s">
        <v>306</v>
      </c>
    </row>
    <row r="59" spans="1:30" s="6" customFormat="1" x14ac:dyDescent="0.2">
      <c r="A59" s="13">
        <v>57</v>
      </c>
      <c r="B59" s="5" t="s">
        <v>48</v>
      </c>
      <c r="C59" s="5"/>
      <c r="D59" s="22" t="s">
        <v>281</v>
      </c>
      <c r="E59" s="5"/>
      <c r="F59" s="5"/>
      <c r="G59" s="5" t="s">
        <v>17</v>
      </c>
      <c r="H59" s="5" t="s">
        <v>63</v>
      </c>
      <c r="I59" s="5" t="s">
        <v>16</v>
      </c>
      <c r="J59" s="5" t="s">
        <v>131</v>
      </c>
      <c r="K59" s="5"/>
      <c r="L59" s="5"/>
      <c r="M59" s="5"/>
      <c r="N59" s="5"/>
      <c r="O59" s="5"/>
      <c r="P59" s="5"/>
      <c r="Q59" s="5"/>
      <c r="R59" s="5" t="s">
        <v>342</v>
      </c>
      <c r="S59" s="48"/>
      <c r="T59" s="48"/>
      <c r="U59" s="22"/>
      <c r="V59" s="5" t="s">
        <v>516</v>
      </c>
      <c r="W59" s="5" t="s">
        <v>535</v>
      </c>
      <c r="X59" s="5"/>
      <c r="Y59" s="5" t="s">
        <v>34</v>
      </c>
      <c r="Z59" s="5"/>
      <c r="AA59" s="5" t="s">
        <v>81</v>
      </c>
      <c r="AB59" s="5"/>
      <c r="AC59" s="5">
        <v>12</v>
      </c>
      <c r="AD59" s="5" t="s">
        <v>311</v>
      </c>
    </row>
    <row r="60" spans="1:30" s="6" customFormat="1" x14ac:dyDescent="0.2">
      <c r="A60" s="13">
        <v>58</v>
      </c>
      <c r="B60" s="5" t="s">
        <v>48</v>
      </c>
      <c r="C60" s="5"/>
      <c r="D60" s="22" t="s">
        <v>282</v>
      </c>
      <c r="E60" s="5"/>
      <c r="F60" s="5"/>
      <c r="G60" s="5" t="s">
        <v>52</v>
      </c>
      <c r="H60" s="5" t="s">
        <v>63</v>
      </c>
      <c r="I60" s="5" t="s">
        <v>16</v>
      </c>
      <c r="J60" s="5">
        <v>4</v>
      </c>
      <c r="K60" s="5"/>
      <c r="L60" s="5"/>
      <c r="M60" s="5"/>
      <c r="N60" s="5"/>
      <c r="O60" s="5"/>
      <c r="P60" s="5"/>
      <c r="Q60" s="5"/>
      <c r="R60" s="5" t="s">
        <v>340</v>
      </c>
      <c r="S60" s="48"/>
      <c r="T60" s="48"/>
      <c r="U60" s="22"/>
      <c r="V60" s="5"/>
      <c r="W60" s="5"/>
      <c r="X60" s="5" t="s">
        <v>283</v>
      </c>
      <c r="Y60" s="5" t="s">
        <v>283</v>
      </c>
      <c r="Z60" s="5"/>
      <c r="AA60" s="5" t="s">
        <v>81</v>
      </c>
      <c r="AB60" s="5"/>
      <c r="AC60" s="5">
        <v>12</v>
      </c>
      <c r="AD60" s="5" t="s">
        <v>311</v>
      </c>
    </row>
    <row r="61" spans="1:30" s="6" customFormat="1" x14ac:dyDescent="0.2">
      <c r="A61" s="13">
        <v>59</v>
      </c>
      <c r="B61" s="5" t="s">
        <v>48</v>
      </c>
      <c r="C61" s="5"/>
      <c r="D61" s="22" t="s">
        <v>282</v>
      </c>
      <c r="E61" s="5"/>
      <c r="F61" s="5"/>
      <c r="G61" s="5" t="s">
        <v>78</v>
      </c>
      <c r="H61" s="5" t="s">
        <v>63</v>
      </c>
      <c r="I61" s="5" t="s">
        <v>16</v>
      </c>
      <c r="J61" s="5">
        <v>4</v>
      </c>
      <c r="K61" s="5"/>
      <c r="L61" s="5"/>
      <c r="M61" s="5"/>
      <c r="N61" s="5"/>
      <c r="O61" s="5"/>
      <c r="P61" s="5"/>
      <c r="Q61" s="5"/>
      <c r="R61" s="5" t="s">
        <v>341</v>
      </c>
      <c r="S61" s="48"/>
      <c r="T61" s="48"/>
      <c r="U61" s="22"/>
      <c r="V61" s="5"/>
      <c r="W61" s="5"/>
      <c r="X61" s="5" t="s">
        <v>19</v>
      </c>
      <c r="Y61" s="5" t="s">
        <v>19</v>
      </c>
      <c r="Z61" s="5"/>
      <c r="AA61" s="5" t="s">
        <v>20</v>
      </c>
      <c r="AB61" s="5"/>
      <c r="AC61" s="5">
        <v>12</v>
      </c>
      <c r="AD61" s="5" t="s">
        <v>311</v>
      </c>
    </row>
    <row r="62" spans="1:30" s="6" customFormat="1" x14ac:dyDescent="0.2">
      <c r="A62" s="13">
        <v>60</v>
      </c>
      <c r="B62" s="5" t="s">
        <v>48</v>
      </c>
      <c r="C62" s="5"/>
      <c r="D62" s="22" t="s">
        <v>284</v>
      </c>
      <c r="E62" s="5">
        <v>4441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 t="s">
        <v>342</v>
      </c>
      <c r="S62" s="48"/>
      <c r="T62" s="48"/>
      <c r="U62" s="22"/>
      <c r="V62" s="1" t="s">
        <v>538</v>
      </c>
      <c r="W62" s="5">
        <v>1</v>
      </c>
      <c r="X62" s="5"/>
      <c r="Y62" s="5" t="s">
        <v>34</v>
      </c>
      <c r="Z62" s="5"/>
      <c r="AA62" s="5" t="s">
        <v>81</v>
      </c>
      <c r="AB62" s="5"/>
      <c r="AC62" s="5">
        <v>11</v>
      </c>
      <c r="AD62" s="5" t="s">
        <v>311</v>
      </c>
    </row>
    <row r="63" spans="1:30" s="6" customFormat="1" x14ac:dyDescent="0.2">
      <c r="A63" s="13">
        <v>61</v>
      </c>
      <c r="B63" s="5" t="s">
        <v>48</v>
      </c>
      <c r="C63" s="5"/>
      <c r="D63" s="22" t="s">
        <v>284</v>
      </c>
      <c r="E63" s="5">
        <v>4432</v>
      </c>
      <c r="F63" s="5"/>
      <c r="G63" s="5"/>
      <c r="H63" s="5"/>
      <c r="I63" s="5" t="s">
        <v>16</v>
      </c>
      <c r="J63" s="5">
        <v>4</v>
      </c>
      <c r="K63" s="5"/>
      <c r="L63" s="5"/>
      <c r="M63" s="5"/>
      <c r="N63" s="5"/>
      <c r="O63" s="5"/>
      <c r="P63" s="5"/>
      <c r="Q63" s="5"/>
      <c r="R63" s="5" t="s">
        <v>342</v>
      </c>
      <c r="S63" s="48"/>
      <c r="T63" s="22"/>
      <c r="U63" s="22"/>
      <c r="V63" s="5" t="s">
        <v>516</v>
      </c>
      <c r="W63" s="5" t="s">
        <v>535</v>
      </c>
      <c r="X63" s="5"/>
      <c r="Y63" s="5" t="s">
        <v>34</v>
      </c>
      <c r="Z63" s="5"/>
      <c r="AA63" s="5" t="s">
        <v>81</v>
      </c>
      <c r="AB63" s="5"/>
      <c r="AC63" s="5">
        <v>11</v>
      </c>
      <c r="AD63" s="5" t="s">
        <v>311</v>
      </c>
    </row>
    <row r="64" spans="1:30" s="6" customFormat="1" x14ac:dyDescent="0.2">
      <c r="A64" s="13">
        <v>62</v>
      </c>
      <c r="B64" s="5" t="s">
        <v>48</v>
      </c>
      <c r="C64" s="5"/>
      <c r="D64" s="22" t="s">
        <v>284</v>
      </c>
      <c r="E64" s="5"/>
      <c r="F64" s="5"/>
      <c r="G64" s="5"/>
      <c r="H64" s="5" t="s">
        <v>63</v>
      </c>
      <c r="I64" s="5"/>
      <c r="J64" s="5"/>
      <c r="K64" s="5"/>
      <c r="L64" s="5"/>
      <c r="M64" s="5"/>
      <c r="N64" s="5"/>
      <c r="O64" s="5"/>
      <c r="P64" s="5"/>
      <c r="Q64" s="5"/>
      <c r="R64" s="5" t="s">
        <v>342</v>
      </c>
      <c r="S64" s="48" t="s">
        <v>645</v>
      </c>
      <c r="T64" s="22"/>
      <c r="U64" s="22"/>
      <c r="V64" s="5" t="s">
        <v>516</v>
      </c>
      <c r="W64" s="5" t="s">
        <v>530</v>
      </c>
      <c r="X64" s="5"/>
      <c r="Y64" s="5" t="s">
        <v>256</v>
      </c>
      <c r="Z64" s="5"/>
      <c r="AA64" s="5" t="s">
        <v>81</v>
      </c>
      <c r="AB64" s="5"/>
      <c r="AC64" s="5">
        <v>11</v>
      </c>
      <c r="AD64" s="5" t="s">
        <v>311</v>
      </c>
    </row>
    <row r="65" spans="1:30" s="6" customFormat="1" x14ac:dyDescent="0.2">
      <c r="A65" s="13">
        <v>63</v>
      </c>
      <c r="B65" s="5" t="s">
        <v>48</v>
      </c>
      <c r="C65" s="5"/>
      <c r="D65" s="22" t="s">
        <v>297</v>
      </c>
      <c r="E65" s="5" t="s">
        <v>123</v>
      </c>
      <c r="F65" s="5"/>
      <c r="G65" s="5" t="s">
        <v>16</v>
      </c>
      <c r="H65" s="5" t="s">
        <v>63</v>
      </c>
      <c r="I65" s="5"/>
      <c r="J65" s="5"/>
      <c r="K65" s="5" t="s">
        <v>133</v>
      </c>
      <c r="L65" s="5"/>
      <c r="M65" s="5"/>
      <c r="N65" s="5"/>
      <c r="O65" s="5" t="s">
        <v>131</v>
      </c>
      <c r="P65" s="5"/>
      <c r="Q65" s="5"/>
      <c r="R65" s="5" t="s">
        <v>342</v>
      </c>
      <c r="S65" s="48"/>
      <c r="T65" s="48" t="s">
        <v>639</v>
      </c>
      <c r="U65" s="22" t="s">
        <v>131</v>
      </c>
      <c r="V65" s="5" t="s">
        <v>516</v>
      </c>
      <c r="W65" s="5" t="s">
        <v>531</v>
      </c>
      <c r="X65" s="5"/>
      <c r="Y65" s="5" t="s">
        <v>40</v>
      </c>
      <c r="Z65" s="5"/>
      <c r="AA65" s="5"/>
      <c r="AB65" s="5" t="s">
        <v>298</v>
      </c>
      <c r="AC65" s="5">
        <v>12</v>
      </c>
      <c r="AD65" s="5" t="s">
        <v>306</v>
      </c>
    </row>
    <row r="66" spans="1:30" s="6" customFormat="1" x14ac:dyDescent="0.2">
      <c r="A66" s="13">
        <v>64</v>
      </c>
      <c r="B66" s="5" t="s">
        <v>48</v>
      </c>
      <c r="C66" s="5"/>
      <c r="D66" s="22" t="s">
        <v>297</v>
      </c>
      <c r="E66" s="5" t="s">
        <v>123</v>
      </c>
      <c r="F66" s="5"/>
      <c r="G66" s="5" t="s">
        <v>52</v>
      </c>
      <c r="H66" s="5" t="s">
        <v>63</v>
      </c>
      <c r="I66" s="5"/>
      <c r="J66" s="5"/>
      <c r="K66" s="5" t="s">
        <v>133</v>
      </c>
      <c r="L66" s="5"/>
      <c r="M66" s="5"/>
      <c r="N66" s="5"/>
      <c r="O66" s="5" t="s">
        <v>131</v>
      </c>
      <c r="P66" s="5"/>
      <c r="Q66" s="5"/>
      <c r="R66" s="5" t="s">
        <v>340</v>
      </c>
      <c r="S66" s="48"/>
      <c r="T66" s="48" t="s">
        <v>639</v>
      </c>
      <c r="U66" s="22" t="s">
        <v>131</v>
      </c>
      <c r="V66" s="5"/>
      <c r="W66" s="5"/>
      <c r="X66" s="5" t="s">
        <v>12</v>
      </c>
      <c r="Y66" s="5" t="s">
        <v>12</v>
      </c>
      <c r="Z66" s="5"/>
      <c r="AA66" s="5"/>
      <c r="AB66" s="5" t="s">
        <v>298</v>
      </c>
      <c r="AC66" s="5">
        <v>12</v>
      </c>
      <c r="AD66" s="5" t="s">
        <v>306</v>
      </c>
    </row>
    <row r="67" spans="1:30" s="6" customFormat="1" x14ac:dyDescent="0.2">
      <c r="A67" s="13">
        <v>65</v>
      </c>
      <c r="B67" s="5" t="s">
        <v>48</v>
      </c>
      <c r="C67" s="5"/>
      <c r="D67" s="22" t="s">
        <v>297</v>
      </c>
      <c r="E67" s="5" t="s">
        <v>123</v>
      </c>
      <c r="F67" s="5"/>
      <c r="G67" s="5" t="s">
        <v>78</v>
      </c>
      <c r="H67" s="5" t="s">
        <v>63</v>
      </c>
      <c r="I67" s="5"/>
      <c r="J67" s="5"/>
      <c r="K67" s="5" t="s">
        <v>133</v>
      </c>
      <c r="L67" s="5"/>
      <c r="M67" s="5"/>
      <c r="N67" s="5"/>
      <c r="O67" s="5" t="s">
        <v>131</v>
      </c>
      <c r="P67" s="5"/>
      <c r="Q67" s="5"/>
      <c r="R67" s="5" t="s">
        <v>341</v>
      </c>
      <c r="S67" s="48"/>
      <c r="T67" s="48" t="s">
        <v>639</v>
      </c>
      <c r="U67" s="22" t="s">
        <v>131</v>
      </c>
      <c r="V67" s="5"/>
      <c r="W67" s="5"/>
      <c r="X67" s="5" t="s">
        <v>74</v>
      </c>
      <c r="Y67" s="5" t="s">
        <v>74</v>
      </c>
      <c r="Z67" s="5"/>
      <c r="AA67" s="5"/>
      <c r="AB67" s="5" t="s">
        <v>298</v>
      </c>
      <c r="AC67" s="5">
        <v>12</v>
      </c>
      <c r="AD67" s="5" t="s">
        <v>306</v>
      </c>
    </row>
    <row r="68" spans="1:30" s="6" customFormat="1" x14ac:dyDescent="0.2">
      <c r="A68" s="13">
        <v>66</v>
      </c>
      <c r="B68" s="5" t="s">
        <v>48</v>
      </c>
      <c r="C68" s="5"/>
      <c r="D68" s="22" t="s">
        <v>285</v>
      </c>
      <c r="E68" s="5" t="s">
        <v>122</v>
      </c>
      <c r="F68" s="5"/>
      <c r="G68" s="5" t="s">
        <v>16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 t="s">
        <v>342</v>
      </c>
      <c r="S68" s="48"/>
      <c r="T68" s="48" t="s">
        <v>639</v>
      </c>
      <c r="U68" s="22" t="s">
        <v>131</v>
      </c>
      <c r="V68" s="5" t="s">
        <v>516</v>
      </c>
      <c r="W68" s="5" t="s">
        <v>531</v>
      </c>
      <c r="X68" s="5"/>
      <c r="Y68" s="5" t="s">
        <v>40</v>
      </c>
      <c r="Z68" s="5"/>
      <c r="AA68" s="5"/>
      <c r="AB68" s="5"/>
      <c r="AC68" s="5">
        <v>12</v>
      </c>
      <c r="AD68" s="5" t="s">
        <v>311</v>
      </c>
    </row>
    <row r="69" spans="1:30" s="6" customFormat="1" x14ac:dyDescent="0.2">
      <c r="A69" s="13">
        <v>67</v>
      </c>
      <c r="B69" s="5" t="s">
        <v>48</v>
      </c>
      <c r="C69" s="5"/>
      <c r="D69" s="22" t="s">
        <v>285</v>
      </c>
      <c r="E69" s="5" t="s">
        <v>122</v>
      </c>
      <c r="F69" s="5"/>
      <c r="G69" s="5" t="s">
        <v>52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 t="s">
        <v>340</v>
      </c>
      <c r="S69" s="48"/>
      <c r="T69" s="48" t="s">
        <v>639</v>
      </c>
      <c r="U69" s="22" t="s">
        <v>131</v>
      </c>
      <c r="V69" s="5"/>
      <c r="W69" s="5"/>
      <c r="X69" s="5" t="s">
        <v>12</v>
      </c>
      <c r="Y69" s="5" t="s">
        <v>12</v>
      </c>
      <c r="Z69" s="5"/>
      <c r="AA69" s="5"/>
      <c r="AB69" s="5"/>
      <c r="AC69" s="5">
        <v>12</v>
      </c>
      <c r="AD69" s="5" t="s">
        <v>311</v>
      </c>
    </row>
    <row r="70" spans="1:30" s="6" customFormat="1" x14ac:dyDescent="0.2">
      <c r="A70" s="13">
        <v>68</v>
      </c>
      <c r="B70" s="5" t="s">
        <v>48</v>
      </c>
      <c r="C70" s="5"/>
      <c r="D70" s="22" t="s">
        <v>285</v>
      </c>
      <c r="E70" s="5" t="s">
        <v>122</v>
      </c>
      <c r="F70" s="5"/>
      <c r="G70" s="5" t="s">
        <v>78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 t="s">
        <v>341</v>
      </c>
      <c r="S70" s="48"/>
      <c r="T70" s="48" t="s">
        <v>639</v>
      </c>
      <c r="U70" s="22" t="s">
        <v>131</v>
      </c>
      <c r="V70" s="5"/>
      <c r="W70" s="5"/>
      <c r="X70" s="5" t="s">
        <v>74</v>
      </c>
      <c r="Y70" s="5" t="s">
        <v>74</v>
      </c>
      <c r="Z70" s="5"/>
      <c r="AA70" s="5"/>
      <c r="AB70" s="5"/>
      <c r="AC70" s="5">
        <v>12</v>
      </c>
      <c r="AD70" s="5" t="s">
        <v>311</v>
      </c>
    </row>
    <row r="71" spans="1:30" s="6" customFormat="1" x14ac:dyDescent="0.2">
      <c r="A71" s="13">
        <v>69</v>
      </c>
      <c r="B71" s="5" t="s">
        <v>48</v>
      </c>
      <c r="C71" s="5"/>
      <c r="D71" s="22" t="s">
        <v>286</v>
      </c>
      <c r="E71" s="5" t="s">
        <v>122</v>
      </c>
      <c r="F71" s="5"/>
      <c r="G71" s="5"/>
      <c r="H71" s="5">
        <v>7</v>
      </c>
      <c r="I71" s="5"/>
      <c r="J71" s="5"/>
      <c r="K71" s="5"/>
      <c r="L71" s="5"/>
      <c r="M71" s="5"/>
      <c r="N71" s="5"/>
      <c r="O71" s="5"/>
      <c r="P71" s="5"/>
      <c r="Q71" s="5"/>
      <c r="R71" s="5" t="s">
        <v>342</v>
      </c>
      <c r="S71" s="48" t="s">
        <v>645</v>
      </c>
      <c r="T71" s="48" t="s">
        <v>639</v>
      </c>
      <c r="U71" s="22" t="s">
        <v>131</v>
      </c>
      <c r="V71" s="5" t="s">
        <v>516</v>
      </c>
      <c r="W71" s="5" t="s">
        <v>532</v>
      </c>
      <c r="X71" s="5"/>
      <c r="Y71" s="5" t="s">
        <v>254</v>
      </c>
      <c r="Z71" s="5"/>
      <c r="AA71" s="5"/>
      <c r="AB71" s="5" t="s">
        <v>41</v>
      </c>
      <c r="AC71" s="5">
        <v>12</v>
      </c>
      <c r="AD71" s="5" t="s">
        <v>311</v>
      </c>
    </row>
    <row r="72" spans="1:30" s="6" customFormat="1" x14ac:dyDescent="0.2">
      <c r="A72" s="13">
        <v>70</v>
      </c>
      <c r="B72" s="5" t="s">
        <v>48</v>
      </c>
      <c r="C72" s="5"/>
      <c r="D72" s="22" t="s">
        <v>286</v>
      </c>
      <c r="E72" s="5" t="s">
        <v>122</v>
      </c>
      <c r="F72" s="5"/>
      <c r="G72" s="5" t="s">
        <v>17</v>
      </c>
      <c r="H72" s="5" t="s">
        <v>294</v>
      </c>
      <c r="I72" s="5"/>
      <c r="J72" s="5"/>
      <c r="K72" s="5"/>
      <c r="L72" s="5"/>
      <c r="M72" s="5"/>
      <c r="N72" s="5"/>
      <c r="O72" s="5"/>
      <c r="P72" s="5"/>
      <c r="Q72" s="5"/>
      <c r="R72" s="5" t="s">
        <v>342</v>
      </c>
      <c r="S72" s="48" t="s">
        <v>645</v>
      </c>
      <c r="T72" s="48" t="s">
        <v>639</v>
      </c>
      <c r="U72" s="22" t="s">
        <v>131</v>
      </c>
      <c r="V72" s="5" t="s">
        <v>516</v>
      </c>
      <c r="W72" s="5" t="s">
        <v>534</v>
      </c>
      <c r="X72" s="5"/>
      <c r="Y72" s="5" t="s">
        <v>295</v>
      </c>
      <c r="Z72" s="5"/>
      <c r="AA72" s="5"/>
      <c r="AB72" s="5" t="s">
        <v>41</v>
      </c>
      <c r="AC72" s="5">
        <v>12</v>
      </c>
      <c r="AD72" s="5" t="s">
        <v>311</v>
      </c>
    </row>
    <row r="73" spans="1:30" s="6" customFormat="1" x14ac:dyDescent="0.2">
      <c r="A73" s="13">
        <v>71</v>
      </c>
      <c r="B73" s="5" t="s">
        <v>48</v>
      </c>
      <c r="C73" s="5"/>
      <c r="D73" s="22" t="s">
        <v>286</v>
      </c>
      <c r="E73" s="5" t="s">
        <v>122</v>
      </c>
      <c r="F73" s="5"/>
      <c r="G73" s="5"/>
      <c r="H73" s="5" t="s">
        <v>296</v>
      </c>
      <c r="I73" s="5"/>
      <c r="J73" s="5"/>
      <c r="K73" s="5"/>
      <c r="L73" s="5"/>
      <c r="M73" s="5"/>
      <c r="N73" s="5"/>
      <c r="O73" s="5"/>
      <c r="P73" s="5"/>
      <c r="Q73" s="5"/>
      <c r="R73" s="5" t="s">
        <v>342</v>
      </c>
      <c r="S73" s="48" t="s">
        <v>645</v>
      </c>
      <c r="T73" s="48" t="s">
        <v>639</v>
      </c>
      <c r="U73" s="22" t="s">
        <v>131</v>
      </c>
      <c r="V73" s="5" t="s">
        <v>516</v>
      </c>
      <c r="W73" s="5" t="s">
        <v>533</v>
      </c>
      <c r="X73" s="5"/>
      <c r="Y73" s="5" t="s">
        <v>255</v>
      </c>
      <c r="Z73" s="5"/>
      <c r="AA73" s="5"/>
      <c r="AB73" s="5" t="s">
        <v>41</v>
      </c>
      <c r="AC73" s="5">
        <v>12</v>
      </c>
      <c r="AD73" s="5" t="s">
        <v>311</v>
      </c>
    </row>
    <row r="74" spans="1:30" s="6" customFormat="1" x14ac:dyDescent="0.2">
      <c r="A74" s="13">
        <v>72</v>
      </c>
      <c r="B74" s="5" t="s">
        <v>48</v>
      </c>
      <c r="C74" s="5"/>
      <c r="D74" s="22" t="s">
        <v>277</v>
      </c>
      <c r="E74" s="5" t="s">
        <v>124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 t="s">
        <v>342</v>
      </c>
      <c r="S74" s="48"/>
      <c r="T74" s="48"/>
      <c r="U74" s="22"/>
      <c r="V74" s="5"/>
      <c r="W74" s="5"/>
      <c r="X74" s="5" t="s">
        <v>27</v>
      </c>
      <c r="Y74" s="5" t="s">
        <v>27</v>
      </c>
      <c r="Z74" s="5"/>
      <c r="AA74" s="5"/>
      <c r="AB74" s="5"/>
      <c r="AC74" s="5">
        <v>12</v>
      </c>
      <c r="AD74" s="5" t="s">
        <v>312</v>
      </c>
    </row>
    <row r="75" spans="1:30" s="6" customFormat="1" x14ac:dyDescent="0.2">
      <c r="A75" s="13">
        <v>73</v>
      </c>
      <c r="B75" s="5" t="s">
        <v>48</v>
      </c>
      <c r="C75" s="5"/>
      <c r="D75" s="22" t="s">
        <v>287</v>
      </c>
      <c r="E75" s="5" t="s">
        <v>124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 t="s">
        <v>342</v>
      </c>
      <c r="S75" s="48"/>
      <c r="T75" s="48"/>
      <c r="U75" s="22"/>
      <c r="V75" s="5"/>
      <c r="W75" s="5"/>
      <c r="X75" s="5" t="s">
        <v>25</v>
      </c>
      <c r="Y75" s="5" t="s">
        <v>25</v>
      </c>
      <c r="Z75" s="5"/>
      <c r="AA75" s="5"/>
      <c r="AB75" s="5"/>
      <c r="AC75" s="5">
        <v>12</v>
      </c>
      <c r="AD75" s="5" t="s">
        <v>312</v>
      </c>
    </row>
    <row r="76" spans="1:30" s="6" customFormat="1" x14ac:dyDescent="0.2">
      <c r="A76" s="13">
        <v>74</v>
      </c>
      <c r="B76" s="5" t="s">
        <v>48</v>
      </c>
      <c r="C76" s="5"/>
      <c r="D76" s="22" t="s">
        <v>288</v>
      </c>
      <c r="E76" s="5" t="s">
        <v>124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 t="s">
        <v>342</v>
      </c>
      <c r="S76" s="48"/>
      <c r="T76" s="48"/>
      <c r="U76" s="22"/>
      <c r="V76" s="5"/>
      <c r="W76" s="5"/>
      <c r="X76" s="5" t="s">
        <v>44</v>
      </c>
      <c r="Y76" s="5" t="s">
        <v>44</v>
      </c>
      <c r="Z76" s="5"/>
      <c r="AA76" s="5"/>
      <c r="AB76" s="5"/>
      <c r="AC76" s="5">
        <v>12</v>
      </c>
      <c r="AD76" s="5" t="s">
        <v>312</v>
      </c>
    </row>
    <row r="77" spans="1:30" s="6" customFormat="1" x14ac:dyDescent="0.2">
      <c r="A77" s="13">
        <v>75</v>
      </c>
      <c r="B77" s="5" t="s">
        <v>48</v>
      </c>
      <c r="C77" s="5"/>
      <c r="D77" s="22" t="s">
        <v>289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 t="s">
        <v>63</v>
      </c>
      <c r="P77" s="5"/>
      <c r="Q77" s="5"/>
      <c r="R77" s="5" t="s">
        <v>340</v>
      </c>
      <c r="S77" s="48"/>
      <c r="T77" s="48"/>
      <c r="U77" s="22"/>
      <c r="V77" s="5"/>
      <c r="W77" s="5"/>
      <c r="X77" s="5" t="s">
        <v>19</v>
      </c>
      <c r="Y77" s="5" t="s">
        <v>19</v>
      </c>
      <c r="Z77" s="5"/>
      <c r="AA77" s="5"/>
      <c r="AB77" s="5"/>
      <c r="AC77" s="5">
        <v>12</v>
      </c>
      <c r="AD77" s="5" t="s">
        <v>313</v>
      </c>
    </row>
    <row r="78" spans="1:30" s="6" customFormat="1" x14ac:dyDescent="0.2">
      <c r="A78" s="13">
        <v>76</v>
      </c>
      <c r="B78" s="5" t="s">
        <v>48</v>
      </c>
      <c r="C78" s="5"/>
      <c r="D78" s="22" t="s">
        <v>290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 t="s">
        <v>63</v>
      </c>
      <c r="P78" s="5"/>
      <c r="Q78" s="5"/>
      <c r="R78" s="5" t="s">
        <v>340</v>
      </c>
      <c r="S78" s="48"/>
      <c r="T78" s="48"/>
      <c r="U78" s="22"/>
      <c r="V78" s="5"/>
      <c r="W78" s="5"/>
      <c r="X78" s="5" t="s">
        <v>74</v>
      </c>
      <c r="Y78" s="5" t="s">
        <v>74</v>
      </c>
      <c r="Z78" s="5"/>
      <c r="AA78" s="5"/>
      <c r="AB78" s="5"/>
      <c r="AC78" s="5">
        <v>12</v>
      </c>
      <c r="AD78" s="5" t="s">
        <v>313</v>
      </c>
    </row>
    <row r="79" spans="1:30" s="6" customFormat="1" x14ac:dyDescent="0.2">
      <c r="A79" s="13">
        <v>77</v>
      </c>
      <c r="B79" s="5" t="s">
        <v>48</v>
      </c>
      <c r="C79" s="5"/>
      <c r="D79" s="22" t="s">
        <v>289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 t="s">
        <v>131</v>
      </c>
      <c r="P79" s="5"/>
      <c r="Q79" s="5"/>
      <c r="R79" s="5" t="s">
        <v>341</v>
      </c>
      <c r="S79" s="48"/>
      <c r="T79" s="48"/>
      <c r="U79" s="22"/>
      <c r="V79" s="5"/>
      <c r="W79" s="5"/>
      <c r="X79" s="5" t="s">
        <v>12</v>
      </c>
      <c r="Y79" s="5" t="s">
        <v>12</v>
      </c>
      <c r="Z79" s="5"/>
      <c r="AA79" s="5"/>
      <c r="AB79" s="5"/>
      <c r="AC79" s="5">
        <v>12</v>
      </c>
      <c r="AD79" s="5" t="s">
        <v>313</v>
      </c>
    </row>
    <row r="80" spans="1:30" s="6" customFormat="1" x14ac:dyDescent="0.2">
      <c r="A80" s="13">
        <v>78</v>
      </c>
      <c r="B80" s="5" t="s">
        <v>48</v>
      </c>
      <c r="C80" s="5"/>
      <c r="D80" s="22" t="s">
        <v>290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 t="s">
        <v>131</v>
      </c>
      <c r="P80" s="5"/>
      <c r="Q80" s="5"/>
      <c r="R80" s="5" t="s">
        <v>341</v>
      </c>
      <c r="S80" s="48"/>
      <c r="T80" s="48"/>
      <c r="U80" s="22"/>
      <c r="V80" s="5"/>
      <c r="W80" s="5"/>
      <c r="X80" s="5" t="s">
        <v>291</v>
      </c>
      <c r="Y80" s="5" t="s">
        <v>291</v>
      </c>
      <c r="Z80" s="5"/>
      <c r="AA80" s="5"/>
      <c r="AB80" s="5"/>
      <c r="AC80" s="5">
        <v>12</v>
      </c>
      <c r="AD80" s="5" t="s">
        <v>313</v>
      </c>
    </row>
    <row r="81" spans="1:30" s="6" customFormat="1" x14ac:dyDescent="0.2">
      <c r="A81" s="13">
        <v>79</v>
      </c>
      <c r="B81" s="5" t="s">
        <v>307</v>
      </c>
      <c r="C81" s="5"/>
      <c r="D81" s="5" t="s">
        <v>46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 t="s">
        <v>47</v>
      </c>
      <c r="P81" s="5"/>
      <c r="Q81" s="5"/>
      <c r="R81" s="5" t="s">
        <v>391</v>
      </c>
      <c r="S81" s="48"/>
      <c r="T81" s="48"/>
      <c r="U81" s="22"/>
      <c r="V81" s="36" t="s">
        <v>539</v>
      </c>
      <c r="W81" s="36">
        <v>2</v>
      </c>
      <c r="X81" s="5"/>
      <c r="Y81" s="5" t="s">
        <v>40</v>
      </c>
      <c r="Z81" s="5"/>
      <c r="AA81" s="5"/>
      <c r="AB81" s="5"/>
      <c r="AC81" s="5">
        <v>21</v>
      </c>
      <c r="AD81" s="5" t="s">
        <v>313</v>
      </c>
    </row>
    <row r="82" spans="1:30" s="6" customFormat="1" x14ac:dyDescent="0.2">
      <c r="A82" s="13">
        <v>80</v>
      </c>
      <c r="B82" s="5" t="s">
        <v>307</v>
      </c>
      <c r="C82" s="5"/>
      <c r="D82" s="5" t="s">
        <v>49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</v>
      </c>
      <c r="P82" s="5"/>
      <c r="Q82" s="5"/>
      <c r="R82" s="5" t="s">
        <v>391</v>
      </c>
      <c r="S82" s="48"/>
      <c r="T82" s="48"/>
      <c r="U82" s="22"/>
      <c r="V82" s="5"/>
      <c r="W82" s="5"/>
      <c r="X82" s="5" t="s">
        <v>25</v>
      </c>
      <c r="Y82" s="5" t="s">
        <v>25</v>
      </c>
      <c r="Z82" s="5">
        <v>1</v>
      </c>
      <c r="AA82" s="5"/>
      <c r="AB82" s="5" t="s">
        <v>390</v>
      </c>
      <c r="AC82" s="5">
        <v>21</v>
      </c>
      <c r="AD82" s="5" t="s">
        <v>313</v>
      </c>
    </row>
    <row r="83" spans="1:30" s="6" customFormat="1" x14ac:dyDescent="0.2">
      <c r="A83" s="13">
        <v>81</v>
      </c>
      <c r="B83" s="5" t="s">
        <v>307</v>
      </c>
      <c r="C83" s="5"/>
      <c r="D83" s="5" t="s">
        <v>389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4</v>
      </c>
      <c r="P83" s="5"/>
      <c r="Q83" s="5"/>
      <c r="R83" s="5" t="s">
        <v>391</v>
      </c>
      <c r="S83" s="48"/>
      <c r="T83" s="48"/>
      <c r="U83" s="22"/>
      <c r="V83" s="36" t="s">
        <v>539</v>
      </c>
      <c r="W83" s="36">
        <v>3</v>
      </c>
      <c r="X83" s="5"/>
      <c r="Y83" s="5" t="s">
        <v>51</v>
      </c>
      <c r="Z83" s="5"/>
      <c r="AA83" s="5"/>
      <c r="AB83" s="5" t="s">
        <v>41</v>
      </c>
      <c r="AC83" s="5">
        <v>21</v>
      </c>
      <c r="AD83" s="5" t="s">
        <v>313</v>
      </c>
    </row>
    <row r="84" spans="1:30" s="6" customFormat="1" x14ac:dyDescent="0.2">
      <c r="A84" s="13">
        <v>82</v>
      </c>
      <c r="B84" s="5" t="s">
        <v>307</v>
      </c>
      <c r="C84" s="5"/>
      <c r="D84" s="22" t="s">
        <v>380</v>
      </c>
      <c r="E84" s="5"/>
      <c r="F84" s="5"/>
      <c r="G84" s="5" t="s">
        <v>17</v>
      </c>
      <c r="H84" s="5" t="s">
        <v>63</v>
      </c>
      <c r="I84" s="5"/>
      <c r="J84" s="5"/>
      <c r="K84" s="5"/>
      <c r="L84" s="5"/>
      <c r="M84" s="5"/>
      <c r="N84" s="5"/>
      <c r="O84" s="5" t="s">
        <v>131</v>
      </c>
      <c r="P84" s="5"/>
      <c r="Q84" s="5"/>
      <c r="R84" s="5" t="s">
        <v>391</v>
      </c>
      <c r="S84" s="48"/>
      <c r="T84" s="48"/>
      <c r="U84" s="22"/>
      <c r="V84" s="5" t="s">
        <v>516</v>
      </c>
      <c r="W84" s="5" t="s">
        <v>532</v>
      </c>
      <c r="X84" s="5"/>
      <c r="Y84" s="5" t="s">
        <v>323</v>
      </c>
      <c r="Z84" s="5"/>
      <c r="AA84" s="5"/>
      <c r="AB84" s="5" t="s">
        <v>298</v>
      </c>
      <c r="AC84" s="5">
        <v>21</v>
      </c>
      <c r="AD84" s="5" t="s">
        <v>313</v>
      </c>
    </row>
    <row r="85" spans="1:30" s="6" customFormat="1" x14ac:dyDescent="0.2">
      <c r="A85" s="13">
        <v>83</v>
      </c>
      <c r="B85" s="5" t="s">
        <v>307</v>
      </c>
      <c r="C85" s="5"/>
      <c r="D85" s="5" t="s">
        <v>53</v>
      </c>
      <c r="E85" s="5" t="s">
        <v>497</v>
      </c>
      <c r="F85" s="5"/>
      <c r="G85" s="5"/>
      <c r="H85" s="5"/>
      <c r="I85" s="5"/>
      <c r="J85" s="5"/>
      <c r="K85" s="5"/>
      <c r="L85" s="5"/>
      <c r="M85" s="5"/>
      <c r="N85" s="5"/>
      <c r="O85" s="5">
        <v>4</v>
      </c>
      <c r="P85" s="5"/>
      <c r="Q85" s="5"/>
      <c r="R85" s="5" t="s">
        <v>391</v>
      </c>
      <c r="S85" s="48"/>
      <c r="T85" s="48"/>
      <c r="U85" s="22"/>
      <c r="V85" s="5"/>
      <c r="W85" s="5"/>
      <c r="X85" s="5" t="s">
        <v>44</v>
      </c>
      <c r="Y85" s="5" t="s">
        <v>44</v>
      </c>
      <c r="Z85" s="5">
        <v>1</v>
      </c>
      <c r="AA85" s="5" t="s">
        <v>81</v>
      </c>
      <c r="AB85" s="5" t="s">
        <v>54</v>
      </c>
      <c r="AC85" s="5">
        <v>20</v>
      </c>
      <c r="AD85" s="5" t="s">
        <v>313</v>
      </c>
    </row>
    <row r="86" spans="1:30" s="6" customFormat="1" x14ac:dyDescent="0.2">
      <c r="A86" s="13">
        <v>84</v>
      </c>
      <c r="B86" s="5" t="s">
        <v>307</v>
      </c>
      <c r="C86" s="5"/>
      <c r="D86" s="5" t="s">
        <v>55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5</v>
      </c>
      <c r="P86" s="5"/>
      <c r="Q86" s="5"/>
      <c r="R86" s="5" t="s">
        <v>391</v>
      </c>
      <c r="S86" s="48"/>
      <c r="T86" s="48"/>
      <c r="U86" s="22"/>
      <c r="V86" s="36" t="s">
        <v>539</v>
      </c>
      <c r="W86" s="36">
        <v>4</v>
      </c>
      <c r="X86" s="5"/>
      <c r="Y86" s="5" t="s">
        <v>56</v>
      </c>
      <c r="Z86" s="5"/>
      <c r="AA86" s="5"/>
      <c r="AB86" s="5"/>
      <c r="AC86" s="5">
        <v>20</v>
      </c>
      <c r="AD86" s="5" t="s">
        <v>313</v>
      </c>
    </row>
    <row r="87" spans="1:30" s="6" customFormat="1" x14ac:dyDescent="0.2">
      <c r="A87" s="13">
        <v>85</v>
      </c>
      <c r="B87" s="5" t="s">
        <v>307</v>
      </c>
      <c r="C87" s="5"/>
      <c r="D87" s="5" t="s">
        <v>53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5</v>
      </c>
      <c r="P87" s="5"/>
      <c r="Q87" s="5"/>
      <c r="R87" s="5" t="s">
        <v>391</v>
      </c>
      <c r="S87" s="48"/>
      <c r="T87" s="38" t="s">
        <v>626</v>
      </c>
      <c r="U87" s="47" t="s">
        <v>627</v>
      </c>
      <c r="V87" s="5"/>
      <c r="W87" s="5"/>
      <c r="X87" s="5" t="s">
        <v>58</v>
      </c>
      <c r="Y87" s="5" t="s">
        <v>58</v>
      </c>
      <c r="Z87" s="5">
        <v>1</v>
      </c>
      <c r="AA87" s="5" t="s">
        <v>81</v>
      </c>
      <c r="AB87" s="5" t="s">
        <v>59</v>
      </c>
      <c r="AC87" s="5">
        <v>20</v>
      </c>
      <c r="AD87" s="5" t="s">
        <v>313</v>
      </c>
    </row>
    <row r="88" spans="1:30" s="6" customFormat="1" x14ac:dyDescent="0.2">
      <c r="A88" s="13">
        <v>86</v>
      </c>
      <c r="B88" s="5" t="s">
        <v>307</v>
      </c>
      <c r="C88" s="5"/>
      <c r="D88" s="5" t="s">
        <v>53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</v>
      </c>
      <c r="P88" s="5"/>
      <c r="Q88" s="5"/>
      <c r="R88" s="5" t="s">
        <v>391</v>
      </c>
      <c r="S88" s="48"/>
      <c r="T88" s="38" t="s">
        <v>626</v>
      </c>
      <c r="U88" s="22" t="s">
        <v>628</v>
      </c>
      <c r="V88" s="5"/>
      <c r="W88" s="5"/>
      <c r="X88" s="5" t="s">
        <v>60</v>
      </c>
      <c r="Y88" s="5" t="s">
        <v>60</v>
      </c>
      <c r="Z88" s="5">
        <v>1</v>
      </c>
      <c r="AA88" s="5" t="s">
        <v>81</v>
      </c>
      <c r="AB88" s="5" t="s">
        <v>59</v>
      </c>
      <c r="AC88" s="5">
        <v>20</v>
      </c>
      <c r="AD88" s="5" t="s">
        <v>313</v>
      </c>
    </row>
    <row r="89" spans="1:30" s="6" customFormat="1" x14ac:dyDescent="0.2">
      <c r="A89" s="13">
        <v>87</v>
      </c>
      <c r="B89" s="5" t="s">
        <v>307</v>
      </c>
      <c r="C89" s="5"/>
      <c r="D89" s="5" t="s">
        <v>53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5</v>
      </c>
      <c r="P89" s="5"/>
      <c r="Q89" s="5"/>
      <c r="R89" s="5" t="s">
        <v>392</v>
      </c>
      <c r="S89" s="48"/>
      <c r="T89" s="38" t="s">
        <v>626</v>
      </c>
      <c r="U89" s="47" t="s">
        <v>629</v>
      </c>
      <c r="V89" s="5"/>
      <c r="W89" s="5"/>
      <c r="X89" s="5" t="s">
        <v>61</v>
      </c>
      <c r="Y89" s="5" t="s">
        <v>61</v>
      </c>
      <c r="Z89" s="5">
        <v>1</v>
      </c>
      <c r="AA89" s="5" t="s">
        <v>81</v>
      </c>
      <c r="AB89" s="5" t="s">
        <v>59</v>
      </c>
      <c r="AC89" s="5">
        <v>20</v>
      </c>
      <c r="AD89" s="5" t="s">
        <v>313</v>
      </c>
    </row>
    <row r="90" spans="1:30" s="6" customFormat="1" x14ac:dyDescent="0.2">
      <c r="A90" s="13">
        <v>88</v>
      </c>
      <c r="B90" s="5" t="s">
        <v>307</v>
      </c>
      <c r="C90" s="5"/>
      <c r="D90" s="5" t="s">
        <v>53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5</v>
      </c>
      <c r="P90" s="5"/>
      <c r="Q90" s="5"/>
      <c r="R90" s="5" t="s">
        <v>393</v>
      </c>
      <c r="S90" s="48"/>
      <c r="T90" s="38" t="s">
        <v>626</v>
      </c>
      <c r="U90" s="22" t="s">
        <v>630</v>
      </c>
      <c r="V90" s="5"/>
      <c r="W90" s="5"/>
      <c r="X90" s="5" t="s">
        <v>62</v>
      </c>
      <c r="Y90" s="5" t="s">
        <v>62</v>
      </c>
      <c r="Z90" s="5">
        <v>1</v>
      </c>
      <c r="AA90" s="5" t="s">
        <v>81</v>
      </c>
      <c r="AB90" s="5" t="s">
        <v>59</v>
      </c>
      <c r="AC90" s="5">
        <v>20</v>
      </c>
      <c r="AD90" s="5" t="s">
        <v>313</v>
      </c>
    </row>
    <row r="91" spans="1:30" s="6" customFormat="1" x14ac:dyDescent="0.2">
      <c r="A91" s="13">
        <v>89</v>
      </c>
      <c r="B91" s="5" t="s">
        <v>307</v>
      </c>
      <c r="C91" s="5"/>
      <c r="D91" s="31" t="s">
        <v>385</v>
      </c>
      <c r="E91" s="5"/>
      <c r="F91" s="5"/>
      <c r="G91" s="5" t="s">
        <v>242</v>
      </c>
      <c r="H91" s="5" t="s">
        <v>63</v>
      </c>
      <c r="I91" s="5"/>
      <c r="J91" s="5"/>
      <c r="K91" s="5"/>
      <c r="L91" s="5"/>
      <c r="M91" s="5"/>
      <c r="N91" s="5"/>
      <c r="O91" s="5" t="s">
        <v>64</v>
      </c>
      <c r="P91" s="5"/>
      <c r="Q91" s="5"/>
      <c r="R91" s="5" t="s">
        <v>392</v>
      </c>
      <c r="S91" s="48"/>
      <c r="T91" s="48" t="s">
        <v>639</v>
      </c>
      <c r="U91" s="22" t="s">
        <v>131</v>
      </c>
      <c r="V91" s="5"/>
      <c r="W91" s="5"/>
      <c r="X91" s="5" t="s">
        <v>65</v>
      </c>
      <c r="Y91" s="5" t="s">
        <v>65</v>
      </c>
      <c r="Z91" s="5"/>
      <c r="AA91" s="5"/>
      <c r="AB91" s="5"/>
      <c r="AC91" s="5">
        <v>21</v>
      </c>
      <c r="AD91" s="5" t="s">
        <v>311</v>
      </c>
    </row>
    <row r="92" spans="1:30" s="6" customFormat="1" x14ac:dyDescent="0.2">
      <c r="A92" s="13">
        <v>90</v>
      </c>
      <c r="B92" s="5" t="s">
        <v>307</v>
      </c>
      <c r="C92" s="5"/>
      <c r="D92" s="31" t="s">
        <v>385</v>
      </c>
      <c r="E92" s="5"/>
      <c r="F92" s="5"/>
      <c r="G92" s="5" t="s">
        <v>17</v>
      </c>
      <c r="H92" s="5" t="s">
        <v>63</v>
      </c>
      <c r="I92" s="5"/>
      <c r="J92" s="5"/>
      <c r="K92" s="5"/>
      <c r="L92" s="5"/>
      <c r="M92" s="5"/>
      <c r="N92" s="5"/>
      <c r="O92" s="5" t="s">
        <v>64</v>
      </c>
      <c r="P92" s="5"/>
      <c r="Q92" s="5"/>
      <c r="R92" s="5" t="s">
        <v>391</v>
      </c>
      <c r="S92" s="48"/>
      <c r="T92" s="48" t="s">
        <v>639</v>
      </c>
      <c r="U92" s="22" t="s">
        <v>131</v>
      </c>
      <c r="V92" s="5" t="s">
        <v>516</v>
      </c>
      <c r="W92" s="5" t="s">
        <v>531</v>
      </c>
      <c r="X92" s="5"/>
      <c r="Y92" s="5" t="s">
        <v>66</v>
      </c>
      <c r="Z92" s="5"/>
      <c r="AA92" s="5"/>
      <c r="AB92" s="5"/>
      <c r="AC92" s="5">
        <v>21</v>
      </c>
      <c r="AD92" s="5" t="s">
        <v>311</v>
      </c>
    </row>
    <row r="93" spans="1:30" s="6" customFormat="1" x14ac:dyDescent="0.2">
      <c r="A93" s="13">
        <v>91</v>
      </c>
      <c r="B93" s="5" t="s">
        <v>307</v>
      </c>
      <c r="C93" s="5"/>
      <c r="D93" s="31" t="s">
        <v>385</v>
      </c>
      <c r="E93" s="5"/>
      <c r="F93" s="5"/>
      <c r="G93" s="5" t="s">
        <v>242</v>
      </c>
      <c r="H93" s="5" t="s">
        <v>77</v>
      </c>
      <c r="I93" s="5"/>
      <c r="J93" s="5"/>
      <c r="K93" s="5"/>
      <c r="L93" s="5"/>
      <c r="M93" s="5"/>
      <c r="N93" s="5"/>
      <c r="O93" s="5" t="s">
        <v>64</v>
      </c>
      <c r="P93" s="5"/>
      <c r="Q93" s="5"/>
      <c r="R93" s="5" t="s">
        <v>392</v>
      </c>
      <c r="S93" s="48"/>
      <c r="T93" s="48"/>
      <c r="U93" s="22"/>
      <c r="V93" s="5"/>
      <c r="W93" s="5"/>
      <c r="X93" s="5" t="s">
        <v>65</v>
      </c>
      <c r="Y93" s="5" t="s">
        <v>65</v>
      </c>
      <c r="Z93" s="5"/>
      <c r="AA93" s="5"/>
      <c r="AB93" s="5"/>
      <c r="AC93" s="5">
        <v>21</v>
      </c>
      <c r="AD93" s="5" t="s">
        <v>311</v>
      </c>
    </row>
    <row r="94" spans="1:30" s="6" customFormat="1" x14ac:dyDescent="0.2">
      <c r="A94" s="13">
        <v>92</v>
      </c>
      <c r="B94" s="5" t="s">
        <v>307</v>
      </c>
      <c r="C94" s="5"/>
      <c r="D94" s="31" t="s">
        <v>385</v>
      </c>
      <c r="E94" s="5"/>
      <c r="F94" s="5"/>
      <c r="G94" s="5" t="s">
        <v>17</v>
      </c>
      <c r="H94" s="5" t="s">
        <v>77</v>
      </c>
      <c r="I94" s="5"/>
      <c r="J94" s="5"/>
      <c r="K94" s="5"/>
      <c r="L94" s="5"/>
      <c r="M94" s="5"/>
      <c r="N94" s="5"/>
      <c r="O94" s="5" t="s">
        <v>64</v>
      </c>
      <c r="P94" s="5"/>
      <c r="Q94" s="5"/>
      <c r="R94" s="5" t="s">
        <v>391</v>
      </c>
      <c r="S94" s="48"/>
      <c r="T94" s="48"/>
      <c r="U94" s="22"/>
      <c r="V94" s="5" t="s">
        <v>516</v>
      </c>
      <c r="W94" s="5" t="s">
        <v>531</v>
      </c>
      <c r="X94" s="5"/>
      <c r="Y94" s="5" t="s">
        <v>66</v>
      </c>
      <c r="Z94" s="5"/>
      <c r="AA94" s="5"/>
      <c r="AB94" s="5"/>
      <c r="AC94" s="5">
        <v>21</v>
      </c>
      <c r="AD94" s="5" t="s">
        <v>311</v>
      </c>
    </row>
    <row r="95" spans="1:30" s="6" customFormat="1" x14ac:dyDescent="0.2">
      <c r="A95" s="13">
        <v>93</v>
      </c>
      <c r="B95" s="5" t="s">
        <v>307</v>
      </c>
      <c r="C95" s="5"/>
      <c r="D95" s="5" t="s">
        <v>67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 t="s">
        <v>64</v>
      </c>
      <c r="P95" s="5"/>
      <c r="Q95" s="5"/>
      <c r="R95" s="5" t="s">
        <v>393</v>
      </c>
      <c r="S95" s="48"/>
      <c r="T95" s="38" t="s">
        <v>626</v>
      </c>
      <c r="U95" s="22" t="s">
        <v>616</v>
      </c>
      <c r="V95" s="5"/>
      <c r="W95" s="5"/>
      <c r="X95" s="5" t="s">
        <v>37</v>
      </c>
      <c r="Y95" s="5" t="s">
        <v>37</v>
      </c>
      <c r="Z95" s="5"/>
      <c r="AA95" s="5" t="s">
        <v>81</v>
      </c>
      <c r="AB95" s="5"/>
      <c r="AC95" s="5">
        <v>21</v>
      </c>
      <c r="AD95" s="5" t="s">
        <v>311</v>
      </c>
    </row>
    <row r="96" spans="1:30" s="6" customFormat="1" x14ac:dyDescent="0.2">
      <c r="A96" s="13">
        <v>94</v>
      </c>
      <c r="B96" s="5" t="s">
        <v>307</v>
      </c>
      <c r="C96" s="5"/>
      <c r="D96" s="5" t="s">
        <v>314</v>
      </c>
      <c r="E96" s="5" t="s">
        <v>497</v>
      </c>
      <c r="F96" s="5"/>
      <c r="G96" s="5"/>
      <c r="H96" s="5"/>
      <c r="I96" s="5"/>
      <c r="J96" s="5"/>
      <c r="K96" s="5"/>
      <c r="L96" s="5"/>
      <c r="M96" s="5"/>
      <c r="N96" s="5"/>
      <c r="O96" s="5" t="s">
        <v>64</v>
      </c>
      <c r="P96" s="5"/>
      <c r="Q96" s="5"/>
      <c r="R96" s="5" t="s">
        <v>391</v>
      </c>
      <c r="S96" s="48"/>
      <c r="T96" s="48"/>
      <c r="U96" s="22"/>
      <c r="V96" s="5"/>
      <c r="W96" s="5"/>
      <c r="X96" s="5" t="s">
        <v>27</v>
      </c>
      <c r="Y96" s="5" t="s">
        <v>27</v>
      </c>
      <c r="Z96" s="5"/>
      <c r="AA96" s="5"/>
      <c r="AB96" s="5"/>
      <c r="AC96" s="5">
        <v>21</v>
      </c>
      <c r="AD96" s="5" t="s">
        <v>312</v>
      </c>
    </row>
    <row r="97" spans="1:30" s="6" customFormat="1" x14ac:dyDescent="0.2">
      <c r="A97" s="13">
        <v>95</v>
      </c>
      <c r="B97" s="5" t="s">
        <v>307</v>
      </c>
      <c r="C97" s="5"/>
      <c r="D97" s="22" t="s">
        <v>315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 t="s">
        <v>391</v>
      </c>
      <c r="S97" s="48"/>
      <c r="T97" s="48"/>
      <c r="U97" s="22"/>
      <c r="V97" s="5"/>
      <c r="W97" s="5"/>
      <c r="X97" s="5" t="s">
        <v>174</v>
      </c>
      <c r="Y97" s="5" t="s">
        <v>174</v>
      </c>
      <c r="Z97" s="5"/>
      <c r="AA97" s="5"/>
      <c r="AB97" s="5"/>
      <c r="AC97" s="5">
        <v>21</v>
      </c>
      <c r="AD97" s="5" t="s">
        <v>321</v>
      </c>
    </row>
    <row r="98" spans="1:30" s="6" customFormat="1" x14ac:dyDescent="0.2">
      <c r="A98" s="13">
        <v>96</v>
      </c>
      <c r="B98" s="5" t="s">
        <v>307</v>
      </c>
      <c r="C98" s="5"/>
      <c r="D98" s="22" t="s">
        <v>308</v>
      </c>
      <c r="E98" s="5"/>
      <c r="F98" s="5"/>
      <c r="G98" s="5" t="s">
        <v>78</v>
      </c>
      <c r="H98" s="5" t="s">
        <v>77</v>
      </c>
      <c r="I98" s="5"/>
      <c r="J98" s="5"/>
      <c r="K98" s="5"/>
      <c r="L98" s="5"/>
      <c r="M98" s="5"/>
      <c r="N98" s="5"/>
      <c r="O98" s="5"/>
      <c r="P98" s="5"/>
      <c r="Q98" s="5"/>
      <c r="R98" s="5" t="s">
        <v>394</v>
      </c>
      <c r="S98" s="48"/>
      <c r="T98" s="48"/>
      <c r="U98" s="22"/>
      <c r="V98" s="5"/>
      <c r="W98" s="5"/>
      <c r="X98" s="5" t="s">
        <v>19</v>
      </c>
      <c r="Y98" s="5" t="s">
        <v>19</v>
      </c>
      <c r="Z98" s="5"/>
      <c r="AA98" s="5"/>
      <c r="AB98" s="5"/>
      <c r="AC98" s="5">
        <v>13</v>
      </c>
      <c r="AD98" s="5" t="s">
        <v>311</v>
      </c>
    </row>
    <row r="99" spans="1:30" s="6" customFormat="1" x14ac:dyDescent="0.2">
      <c r="A99" s="13">
        <v>97</v>
      </c>
      <c r="B99" s="5" t="s">
        <v>307</v>
      </c>
      <c r="C99" s="5"/>
      <c r="D99" s="22" t="s">
        <v>309</v>
      </c>
      <c r="E99" s="5"/>
      <c r="F99" s="5"/>
      <c r="G99" s="5" t="s">
        <v>17</v>
      </c>
      <c r="H99" s="5" t="s">
        <v>63</v>
      </c>
      <c r="I99" s="5" t="s">
        <v>16</v>
      </c>
      <c r="J99" s="5" t="s">
        <v>131</v>
      </c>
      <c r="K99" s="5"/>
      <c r="L99" s="5"/>
      <c r="M99" s="5"/>
      <c r="N99" s="5"/>
      <c r="O99" s="5"/>
      <c r="P99" s="5"/>
      <c r="Q99" s="5"/>
      <c r="R99" s="5" t="s">
        <v>357</v>
      </c>
      <c r="S99" s="48"/>
      <c r="T99" s="48"/>
      <c r="U99" s="22"/>
      <c r="V99" s="5" t="s">
        <v>516</v>
      </c>
      <c r="W99" s="5" t="s">
        <v>535</v>
      </c>
      <c r="X99" s="5"/>
      <c r="Y99" s="5" t="s">
        <v>34</v>
      </c>
      <c r="Z99" s="5"/>
      <c r="AA99" s="5" t="s">
        <v>81</v>
      </c>
      <c r="AB99" s="5"/>
      <c r="AC99" s="5">
        <v>13</v>
      </c>
      <c r="AD99" s="5" t="s">
        <v>311</v>
      </c>
    </row>
    <row r="100" spans="1:30" s="6" customFormat="1" x14ac:dyDescent="0.2">
      <c r="A100" s="13">
        <v>98</v>
      </c>
      <c r="B100" s="5" t="s">
        <v>307</v>
      </c>
      <c r="C100" s="5"/>
      <c r="D100" s="22" t="s">
        <v>282</v>
      </c>
      <c r="E100" s="5"/>
      <c r="F100" s="5"/>
      <c r="G100" s="5" t="s">
        <v>52</v>
      </c>
      <c r="H100" s="5" t="s">
        <v>63</v>
      </c>
      <c r="I100" s="5" t="s">
        <v>16</v>
      </c>
      <c r="J100" s="5">
        <v>4</v>
      </c>
      <c r="K100" s="5"/>
      <c r="L100" s="5"/>
      <c r="M100" s="5"/>
      <c r="N100" s="5"/>
      <c r="O100" s="5"/>
      <c r="P100" s="5"/>
      <c r="Q100" s="5"/>
      <c r="R100" s="5" t="s">
        <v>358</v>
      </c>
      <c r="S100" s="48"/>
      <c r="T100" s="48"/>
      <c r="U100" s="22"/>
      <c r="V100" s="5"/>
      <c r="W100" s="5"/>
      <c r="X100" s="5" t="s">
        <v>283</v>
      </c>
      <c r="Y100" s="5" t="s">
        <v>283</v>
      </c>
      <c r="Z100" s="5"/>
      <c r="AA100" s="5" t="s">
        <v>81</v>
      </c>
      <c r="AB100" s="5"/>
      <c r="AC100" s="5">
        <v>13</v>
      </c>
      <c r="AD100" s="5" t="s">
        <v>311</v>
      </c>
    </row>
    <row r="101" spans="1:30" s="6" customFormat="1" x14ac:dyDescent="0.2">
      <c r="A101" s="13">
        <v>99</v>
      </c>
      <c r="B101" s="5" t="s">
        <v>307</v>
      </c>
      <c r="C101" s="5"/>
      <c r="D101" s="22" t="s">
        <v>310</v>
      </c>
      <c r="E101" s="5">
        <v>4441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 t="s">
        <v>357</v>
      </c>
      <c r="S101" s="48"/>
      <c r="T101" s="48"/>
      <c r="U101" s="22"/>
      <c r="V101" s="1" t="s">
        <v>538</v>
      </c>
      <c r="W101" s="5">
        <v>1</v>
      </c>
      <c r="X101" s="5"/>
      <c r="Y101" s="5" t="s">
        <v>34</v>
      </c>
      <c r="Z101" s="5"/>
      <c r="AA101" s="5" t="s">
        <v>81</v>
      </c>
      <c r="AB101" s="5"/>
      <c r="AC101" s="5">
        <v>13</v>
      </c>
      <c r="AD101" s="5" t="s">
        <v>311</v>
      </c>
    </row>
    <row r="102" spans="1:30" s="6" customFormat="1" x14ac:dyDescent="0.2">
      <c r="A102" s="13">
        <v>100</v>
      </c>
      <c r="B102" s="5" t="s">
        <v>307</v>
      </c>
      <c r="C102" s="5"/>
      <c r="D102" s="22" t="s">
        <v>310</v>
      </c>
      <c r="E102" s="5">
        <v>4432</v>
      </c>
      <c r="F102" s="5"/>
      <c r="G102" s="5"/>
      <c r="H102" s="5"/>
      <c r="I102" s="5" t="s">
        <v>16</v>
      </c>
      <c r="J102" s="5">
        <v>4</v>
      </c>
      <c r="K102" s="5"/>
      <c r="L102" s="5"/>
      <c r="M102" s="5"/>
      <c r="N102" s="5"/>
      <c r="O102" s="5"/>
      <c r="P102" s="5"/>
      <c r="Q102" s="5"/>
      <c r="R102" s="5" t="s">
        <v>357</v>
      </c>
      <c r="S102" s="48"/>
      <c r="T102" s="22"/>
      <c r="U102" s="22"/>
      <c r="V102" s="5" t="s">
        <v>516</v>
      </c>
      <c r="W102" s="5" t="s">
        <v>535</v>
      </c>
      <c r="X102" s="5"/>
      <c r="Y102" s="5" t="s">
        <v>34</v>
      </c>
      <c r="Z102" s="5"/>
      <c r="AA102" s="5" t="s">
        <v>81</v>
      </c>
      <c r="AB102" s="5"/>
      <c r="AC102" s="5">
        <v>13</v>
      </c>
      <c r="AD102" s="5" t="s">
        <v>311</v>
      </c>
    </row>
    <row r="103" spans="1:30" s="6" customFormat="1" x14ac:dyDescent="0.2">
      <c r="A103" s="13">
        <v>101</v>
      </c>
      <c r="B103" s="5" t="s">
        <v>307</v>
      </c>
      <c r="C103" s="5"/>
      <c r="D103" s="22" t="s">
        <v>310</v>
      </c>
      <c r="E103" s="5"/>
      <c r="F103" s="5"/>
      <c r="G103" s="5"/>
      <c r="H103" s="5" t="s">
        <v>63</v>
      </c>
      <c r="I103" s="5"/>
      <c r="J103" s="5"/>
      <c r="K103" s="5"/>
      <c r="L103" s="5"/>
      <c r="M103" s="5"/>
      <c r="N103" s="5"/>
      <c r="O103" s="5"/>
      <c r="P103" s="5"/>
      <c r="Q103" s="5"/>
      <c r="R103" s="5" t="s">
        <v>357</v>
      </c>
      <c r="S103" s="48" t="s">
        <v>645</v>
      </c>
      <c r="T103" s="22"/>
      <c r="U103" s="22"/>
      <c r="V103" s="5" t="s">
        <v>516</v>
      </c>
      <c r="W103" s="5" t="s">
        <v>530</v>
      </c>
      <c r="X103" s="5"/>
      <c r="Y103" s="5" t="s">
        <v>256</v>
      </c>
      <c r="Z103" s="5"/>
      <c r="AA103" s="5" t="s">
        <v>81</v>
      </c>
      <c r="AB103" s="5"/>
      <c r="AC103" s="5">
        <v>13</v>
      </c>
      <c r="AD103" s="5" t="s">
        <v>311</v>
      </c>
    </row>
    <row r="104" spans="1:30" s="6" customFormat="1" x14ac:dyDescent="0.2">
      <c r="A104" s="13">
        <v>102</v>
      </c>
      <c r="B104" s="5" t="s">
        <v>307</v>
      </c>
      <c r="C104" s="5"/>
      <c r="D104" s="22" t="s">
        <v>286</v>
      </c>
      <c r="E104" s="5" t="s">
        <v>122</v>
      </c>
      <c r="F104" s="5"/>
      <c r="G104" s="5"/>
      <c r="H104" s="5">
        <v>7</v>
      </c>
      <c r="I104" s="5"/>
      <c r="J104" s="5"/>
      <c r="K104" s="5"/>
      <c r="L104" s="5"/>
      <c r="M104" s="5"/>
      <c r="N104" s="5"/>
      <c r="O104" s="5"/>
      <c r="P104" s="5"/>
      <c r="Q104" s="5"/>
      <c r="R104" s="5" t="s">
        <v>357</v>
      </c>
      <c r="S104" s="48" t="s">
        <v>645</v>
      </c>
      <c r="T104" s="48"/>
      <c r="U104" s="22"/>
      <c r="V104" s="5" t="s">
        <v>516</v>
      </c>
      <c r="W104" s="5" t="s">
        <v>532</v>
      </c>
      <c r="X104" s="5"/>
      <c r="Y104" s="5" t="s">
        <v>254</v>
      </c>
      <c r="Z104" s="5"/>
      <c r="AA104" s="5"/>
      <c r="AB104" s="5" t="s">
        <v>41</v>
      </c>
      <c r="AC104" s="5">
        <v>13</v>
      </c>
      <c r="AD104" s="5" t="s">
        <v>311</v>
      </c>
    </row>
    <row r="105" spans="1:30" s="6" customFormat="1" x14ac:dyDescent="0.2">
      <c r="A105" s="13">
        <v>103</v>
      </c>
      <c r="B105" s="5" t="s">
        <v>307</v>
      </c>
      <c r="C105" s="5"/>
      <c r="D105" s="22" t="s">
        <v>286</v>
      </c>
      <c r="E105" s="5" t="s">
        <v>122</v>
      </c>
      <c r="F105" s="5"/>
      <c r="G105" s="5" t="s">
        <v>17</v>
      </c>
      <c r="H105" s="5" t="s">
        <v>294</v>
      </c>
      <c r="I105" s="5"/>
      <c r="J105" s="5"/>
      <c r="K105" s="5"/>
      <c r="L105" s="5"/>
      <c r="M105" s="5"/>
      <c r="N105" s="5"/>
      <c r="O105" s="5"/>
      <c r="P105" s="5"/>
      <c r="Q105" s="5"/>
      <c r="R105" s="5" t="s">
        <v>357</v>
      </c>
      <c r="S105" s="48" t="s">
        <v>645</v>
      </c>
      <c r="T105" s="48"/>
      <c r="U105" s="22"/>
      <c r="V105" s="5" t="s">
        <v>516</v>
      </c>
      <c r="W105" s="5" t="s">
        <v>534</v>
      </c>
      <c r="X105" s="5"/>
      <c r="Y105" s="5" t="s">
        <v>295</v>
      </c>
      <c r="Z105" s="5"/>
      <c r="AA105" s="5"/>
      <c r="AB105" s="5" t="s">
        <v>41</v>
      </c>
      <c r="AC105" s="5">
        <v>13</v>
      </c>
      <c r="AD105" s="5" t="s">
        <v>311</v>
      </c>
    </row>
    <row r="106" spans="1:30" s="6" customFormat="1" x14ac:dyDescent="0.2">
      <c r="A106" s="13">
        <v>104</v>
      </c>
      <c r="B106" s="5" t="s">
        <v>307</v>
      </c>
      <c r="C106" s="5"/>
      <c r="D106" s="22" t="s">
        <v>286</v>
      </c>
      <c r="E106" s="5" t="s">
        <v>122</v>
      </c>
      <c r="F106" s="5"/>
      <c r="G106" s="5"/>
      <c r="H106" s="5" t="s">
        <v>296</v>
      </c>
      <c r="I106" s="5"/>
      <c r="J106" s="5"/>
      <c r="K106" s="5"/>
      <c r="L106" s="5"/>
      <c r="M106" s="5"/>
      <c r="N106" s="5"/>
      <c r="O106" s="5"/>
      <c r="P106" s="5"/>
      <c r="Q106" s="5"/>
      <c r="R106" s="5" t="s">
        <v>357</v>
      </c>
      <c r="S106" s="48" t="s">
        <v>645</v>
      </c>
      <c r="T106" s="48"/>
      <c r="U106" s="22"/>
      <c r="V106" s="5" t="s">
        <v>516</v>
      </c>
      <c r="W106" s="5" t="s">
        <v>533</v>
      </c>
      <c r="X106" s="5"/>
      <c r="Y106" s="5" t="s">
        <v>255</v>
      </c>
      <c r="Z106" s="5"/>
      <c r="AA106" s="5"/>
      <c r="AB106" s="5" t="s">
        <v>41</v>
      </c>
      <c r="AC106" s="5">
        <v>13</v>
      </c>
      <c r="AD106" s="5" t="s">
        <v>311</v>
      </c>
    </row>
    <row r="107" spans="1:30" s="6" customFormat="1" x14ac:dyDescent="0.2">
      <c r="A107" s="13">
        <v>105</v>
      </c>
      <c r="B107" s="5" t="s">
        <v>307</v>
      </c>
      <c r="C107" s="5"/>
      <c r="D107" s="22" t="s">
        <v>314</v>
      </c>
      <c r="E107" s="5" t="s">
        <v>497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 t="s">
        <v>357</v>
      </c>
      <c r="S107" s="48"/>
      <c r="T107" s="48"/>
      <c r="U107" s="22"/>
      <c r="V107" s="5"/>
      <c r="W107" s="5"/>
      <c r="X107" s="5" t="s">
        <v>27</v>
      </c>
      <c r="Y107" s="5" t="s">
        <v>27</v>
      </c>
      <c r="Z107" s="5"/>
      <c r="AA107" s="5"/>
      <c r="AB107" s="5"/>
      <c r="AC107" s="5">
        <v>13</v>
      </c>
      <c r="AD107" s="5" t="s">
        <v>312</v>
      </c>
    </row>
    <row r="108" spans="1:30" s="6" customFormat="1" x14ac:dyDescent="0.2">
      <c r="A108" s="13">
        <v>106</v>
      </c>
      <c r="B108" s="5" t="s">
        <v>307</v>
      </c>
      <c r="C108" s="5"/>
      <c r="D108" s="22" t="s">
        <v>315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 t="s">
        <v>357</v>
      </c>
      <c r="S108" s="48"/>
      <c r="T108" s="48"/>
      <c r="U108" s="22"/>
      <c r="V108" s="5"/>
      <c r="W108" s="5"/>
      <c r="X108" s="5" t="s">
        <v>174</v>
      </c>
      <c r="Y108" s="5" t="s">
        <v>174</v>
      </c>
      <c r="Z108" s="5"/>
      <c r="AA108" s="5"/>
      <c r="AB108" s="5"/>
      <c r="AC108" s="5">
        <v>13</v>
      </c>
      <c r="AD108" s="5" t="s">
        <v>321</v>
      </c>
    </row>
    <row r="109" spans="1:30" s="6" customFormat="1" x14ac:dyDescent="0.2">
      <c r="A109" s="13">
        <v>107</v>
      </c>
      <c r="B109" s="5" t="s">
        <v>307</v>
      </c>
      <c r="C109" s="5"/>
      <c r="D109" s="22" t="s">
        <v>322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>
        <v>5</v>
      </c>
      <c r="P109" s="5"/>
      <c r="Q109" s="5"/>
      <c r="R109" s="5" t="s">
        <v>357</v>
      </c>
      <c r="S109" s="48"/>
      <c r="T109" s="48"/>
      <c r="U109" s="22"/>
      <c r="V109" s="36" t="s">
        <v>539</v>
      </c>
      <c r="W109" s="36">
        <v>2</v>
      </c>
      <c r="X109" s="5"/>
      <c r="Y109" s="5" t="s">
        <v>66</v>
      </c>
      <c r="Z109" s="5"/>
      <c r="AA109" s="5"/>
      <c r="AB109" s="5"/>
      <c r="AC109" s="5">
        <v>13</v>
      </c>
      <c r="AD109" s="5" t="s">
        <v>313</v>
      </c>
    </row>
    <row r="110" spans="1:30" s="6" customFormat="1" x14ac:dyDescent="0.2">
      <c r="A110" s="13">
        <v>108</v>
      </c>
      <c r="B110" s="5" t="s">
        <v>307</v>
      </c>
      <c r="C110" s="5"/>
      <c r="D110" s="22" t="s">
        <v>322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>
        <v>6</v>
      </c>
      <c r="P110" s="5"/>
      <c r="Q110" s="5"/>
      <c r="R110" s="5" t="s">
        <v>357</v>
      </c>
      <c r="S110" s="48"/>
      <c r="T110" s="48"/>
      <c r="U110" s="22"/>
      <c r="V110" s="36" t="s">
        <v>539</v>
      </c>
      <c r="W110" s="36">
        <v>3</v>
      </c>
      <c r="X110" s="5"/>
      <c r="Y110" s="5" t="s">
        <v>323</v>
      </c>
      <c r="Z110" s="5"/>
      <c r="AA110" s="5"/>
      <c r="AB110" s="5"/>
      <c r="AC110" s="5">
        <v>13</v>
      </c>
      <c r="AD110" s="5" t="s">
        <v>313</v>
      </c>
    </row>
    <row r="111" spans="1:30" s="6" customFormat="1" x14ac:dyDescent="0.2">
      <c r="A111" s="13">
        <v>109</v>
      </c>
      <c r="B111" s="5" t="s">
        <v>307</v>
      </c>
      <c r="C111" s="5"/>
      <c r="D111" s="22" t="s">
        <v>322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>
        <v>7</v>
      </c>
      <c r="P111" s="5"/>
      <c r="Q111" s="5"/>
      <c r="R111" s="5" t="s">
        <v>357</v>
      </c>
      <c r="S111" s="48"/>
      <c r="T111" s="48"/>
      <c r="U111" s="22"/>
      <c r="V111" s="36" t="s">
        <v>539</v>
      </c>
      <c r="W111" s="36">
        <v>4</v>
      </c>
      <c r="X111" s="5"/>
      <c r="Y111" s="5" t="s">
        <v>324</v>
      </c>
      <c r="Z111" s="5"/>
      <c r="AA111" s="5"/>
      <c r="AB111" s="5"/>
      <c r="AC111" s="5">
        <v>13</v>
      </c>
      <c r="AD111" s="5" t="s">
        <v>313</v>
      </c>
    </row>
    <row r="112" spans="1:30" s="6" customFormat="1" x14ac:dyDescent="0.2">
      <c r="A112" s="13">
        <v>110</v>
      </c>
      <c r="B112" s="5" t="s">
        <v>307</v>
      </c>
      <c r="C112" s="5"/>
      <c r="D112" s="22" t="s">
        <v>325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>
        <v>5</v>
      </c>
      <c r="P112" s="5"/>
      <c r="Q112" s="5"/>
      <c r="R112" s="5" t="s">
        <v>357</v>
      </c>
      <c r="S112" s="48"/>
      <c r="T112" s="48"/>
      <c r="U112" s="22"/>
      <c r="V112" s="5"/>
      <c r="W112" s="5"/>
      <c r="X112" s="5" t="s">
        <v>25</v>
      </c>
      <c r="Y112" s="5" t="s">
        <v>25</v>
      </c>
      <c r="Z112" s="5">
        <v>1</v>
      </c>
      <c r="AA112" s="5"/>
      <c r="AB112" s="5" t="s">
        <v>390</v>
      </c>
      <c r="AC112" s="5">
        <v>13</v>
      </c>
      <c r="AD112" s="5" t="s">
        <v>313</v>
      </c>
    </row>
    <row r="113" spans="1:30" s="6" customFormat="1" x14ac:dyDescent="0.2">
      <c r="A113" s="13">
        <v>111</v>
      </c>
      <c r="B113" s="5" t="s">
        <v>328</v>
      </c>
      <c r="C113" s="5"/>
      <c r="D113" s="5" t="s">
        <v>46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 t="s">
        <v>47</v>
      </c>
      <c r="P113" s="5"/>
      <c r="Q113" s="5"/>
      <c r="R113" s="5" t="s">
        <v>403</v>
      </c>
      <c r="S113" s="48"/>
      <c r="T113" s="48"/>
      <c r="U113" s="22"/>
      <c r="V113" s="36" t="s">
        <v>539</v>
      </c>
      <c r="W113" s="36">
        <v>2</v>
      </c>
      <c r="X113" s="5"/>
      <c r="Y113" s="5" t="s">
        <v>40</v>
      </c>
      <c r="Z113" s="5"/>
      <c r="AA113" s="5"/>
      <c r="AB113" s="5"/>
      <c r="AC113" s="5">
        <v>21</v>
      </c>
      <c r="AD113" s="5" t="s">
        <v>313</v>
      </c>
    </row>
    <row r="114" spans="1:30" s="6" customFormat="1" x14ac:dyDescent="0.2">
      <c r="A114" s="13">
        <v>112</v>
      </c>
      <c r="B114" s="5" t="s">
        <v>328</v>
      </c>
      <c r="C114" s="5"/>
      <c r="D114" s="5" t="s">
        <v>396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>
        <v>3</v>
      </c>
      <c r="P114" s="5"/>
      <c r="Q114" s="5"/>
      <c r="R114" s="5" t="s">
        <v>403</v>
      </c>
      <c r="S114" s="48"/>
      <c r="T114" s="48"/>
      <c r="U114" s="22"/>
      <c r="V114" s="5"/>
      <c r="W114" s="5"/>
      <c r="X114" s="5" t="s">
        <v>25</v>
      </c>
      <c r="Y114" s="5" t="s">
        <v>25</v>
      </c>
      <c r="Z114" s="5">
        <v>1</v>
      </c>
      <c r="AA114" s="5" t="s">
        <v>81</v>
      </c>
      <c r="AB114" s="5" t="s">
        <v>395</v>
      </c>
      <c r="AC114" s="5">
        <v>21</v>
      </c>
      <c r="AD114" s="5" t="s">
        <v>313</v>
      </c>
    </row>
    <row r="115" spans="1:30" s="6" customFormat="1" x14ac:dyDescent="0.2">
      <c r="A115" s="13">
        <v>113</v>
      </c>
      <c r="B115" s="5" t="s">
        <v>328</v>
      </c>
      <c r="C115" s="5"/>
      <c r="D115" s="5" t="s">
        <v>49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>
        <v>4</v>
      </c>
      <c r="P115" s="5"/>
      <c r="Q115" s="5"/>
      <c r="R115" s="5" t="s">
        <v>403</v>
      </c>
      <c r="S115" s="48"/>
      <c r="T115" s="48"/>
      <c r="U115" s="22"/>
      <c r="V115" s="36" t="s">
        <v>539</v>
      </c>
      <c r="W115" s="36">
        <v>3</v>
      </c>
      <c r="X115" s="5"/>
      <c r="Y115" s="5" t="s">
        <v>51</v>
      </c>
      <c r="Z115" s="5"/>
      <c r="AA115" s="5"/>
      <c r="AB115" s="5"/>
      <c r="AC115" s="5">
        <v>21</v>
      </c>
      <c r="AD115" s="5" t="s">
        <v>313</v>
      </c>
    </row>
    <row r="116" spans="1:30" s="6" customFormat="1" x14ac:dyDescent="0.2">
      <c r="A116" s="13">
        <v>114</v>
      </c>
      <c r="B116" s="5" t="s">
        <v>328</v>
      </c>
      <c r="C116" s="5"/>
      <c r="D116" s="5" t="s">
        <v>53</v>
      </c>
      <c r="E116" s="5" t="s">
        <v>497</v>
      </c>
      <c r="F116" s="5"/>
      <c r="G116" s="5"/>
      <c r="H116" s="5"/>
      <c r="I116" s="5"/>
      <c r="J116" s="5"/>
      <c r="K116" s="5"/>
      <c r="L116" s="5"/>
      <c r="M116" s="5"/>
      <c r="N116" s="5"/>
      <c r="O116" s="5">
        <v>4</v>
      </c>
      <c r="P116" s="5"/>
      <c r="Q116" s="5"/>
      <c r="R116" s="5" t="s">
        <v>403</v>
      </c>
      <c r="S116" s="48"/>
      <c r="T116" s="48"/>
      <c r="U116" s="22"/>
      <c r="V116" s="5"/>
      <c r="W116" s="5"/>
      <c r="X116" s="5" t="s">
        <v>44</v>
      </c>
      <c r="Y116" s="5" t="s">
        <v>44</v>
      </c>
      <c r="Z116" s="5">
        <v>1</v>
      </c>
      <c r="AA116" s="5" t="s">
        <v>81</v>
      </c>
      <c r="AB116" s="5" t="s">
        <v>54</v>
      </c>
      <c r="AC116" s="5">
        <v>21</v>
      </c>
      <c r="AD116" s="5" t="s">
        <v>313</v>
      </c>
    </row>
    <row r="117" spans="1:30" s="6" customFormat="1" x14ac:dyDescent="0.2">
      <c r="A117" s="13">
        <v>115</v>
      </c>
      <c r="B117" s="5" t="s">
        <v>328</v>
      </c>
      <c r="C117" s="5"/>
      <c r="D117" s="5" t="s">
        <v>55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>
        <v>5</v>
      </c>
      <c r="P117" s="5"/>
      <c r="Q117" s="5"/>
      <c r="R117" s="5" t="s">
        <v>403</v>
      </c>
      <c r="S117" s="48"/>
      <c r="T117" s="48"/>
      <c r="U117" s="22"/>
      <c r="V117" s="36" t="s">
        <v>539</v>
      </c>
      <c r="W117" s="36">
        <v>4</v>
      </c>
      <c r="X117" s="5"/>
      <c r="Y117" s="5" t="s">
        <v>56</v>
      </c>
      <c r="Z117" s="5"/>
      <c r="AA117" s="5"/>
      <c r="AB117" s="5"/>
      <c r="AC117" s="5">
        <v>21</v>
      </c>
      <c r="AD117" s="5" t="s">
        <v>313</v>
      </c>
    </row>
    <row r="118" spans="1:30" s="6" customFormat="1" x14ac:dyDescent="0.2">
      <c r="A118" s="13">
        <v>116</v>
      </c>
      <c r="B118" s="5" t="s">
        <v>328</v>
      </c>
      <c r="C118" s="5"/>
      <c r="D118" s="5" t="s">
        <v>53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>
        <v>5</v>
      </c>
      <c r="P118" s="5"/>
      <c r="Q118" s="5"/>
      <c r="R118" s="5" t="s">
        <v>403</v>
      </c>
      <c r="S118" s="38" t="s">
        <v>640</v>
      </c>
      <c r="T118" s="38"/>
      <c r="U118" s="47"/>
      <c r="V118" s="5"/>
      <c r="W118" s="5"/>
      <c r="X118" s="5" t="s">
        <v>62</v>
      </c>
      <c r="Y118" s="5" t="s">
        <v>255</v>
      </c>
      <c r="Z118" s="5">
        <v>1</v>
      </c>
      <c r="AA118" s="5" t="s">
        <v>81</v>
      </c>
      <c r="AB118" s="5" t="s">
        <v>59</v>
      </c>
      <c r="AC118" s="5">
        <v>21</v>
      </c>
      <c r="AD118" s="5" t="s">
        <v>313</v>
      </c>
    </row>
    <row r="119" spans="1:30" s="6" customFormat="1" x14ac:dyDescent="0.2">
      <c r="A119" s="13">
        <v>117</v>
      </c>
      <c r="B119" s="5" t="s">
        <v>328</v>
      </c>
      <c r="C119" s="5"/>
      <c r="D119" s="22" t="s">
        <v>53</v>
      </c>
      <c r="E119" s="5"/>
      <c r="F119" s="5"/>
      <c r="G119" s="5" t="s">
        <v>17</v>
      </c>
      <c r="H119" s="5" t="s">
        <v>63</v>
      </c>
      <c r="I119" s="5"/>
      <c r="J119" s="5"/>
      <c r="K119" s="5"/>
      <c r="L119" s="5"/>
      <c r="M119" s="5"/>
      <c r="N119" s="5"/>
      <c r="O119" s="5" t="s">
        <v>131</v>
      </c>
      <c r="P119" s="5"/>
      <c r="Q119" s="5"/>
      <c r="R119" s="5" t="s">
        <v>403</v>
      </c>
      <c r="S119" s="48" t="s">
        <v>645</v>
      </c>
      <c r="T119" s="48" t="s">
        <v>639</v>
      </c>
      <c r="U119" s="22" t="s">
        <v>63</v>
      </c>
      <c r="V119" s="5" t="s">
        <v>516</v>
      </c>
      <c r="W119" s="5" t="s">
        <v>533</v>
      </c>
      <c r="X119" s="5"/>
      <c r="Y119" s="5" t="s">
        <v>324</v>
      </c>
      <c r="Z119" s="5"/>
      <c r="AA119" s="5"/>
      <c r="AB119" s="5" t="s">
        <v>298</v>
      </c>
      <c r="AC119" s="5">
        <v>21</v>
      </c>
      <c r="AD119" s="5" t="s">
        <v>313</v>
      </c>
    </row>
    <row r="120" spans="1:30" s="6" customFormat="1" x14ac:dyDescent="0.2">
      <c r="A120" s="13">
        <v>118</v>
      </c>
      <c r="B120" s="5" t="s">
        <v>328</v>
      </c>
      <c r="C120" s="5"/>
      <c r="D120" s="22" t="s">
        <v>275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 t="s">
        <v>131</v>
      </c>
      <c r="P120" s="5"/>
      <c r="Q120" s="5"/>
      <c r="R120" s="5" t="s">
        <v>403</v>
      </c>
      <c r="S120" s="48"/>
      <c r="T120" s="48"/>
      <c r="U120" s="22"/>
      <c r="V120" s="5"/>
      <c r="W120" s="5"/>
      <c r="X120" s="5" t="s">
        <v>72</v>
      </c>
      <c r="Y120" s="5" t="s">
        <v>72</v>
      </c>
      <c r="Z120" s="5">
        <v>1</v>
      </c>
      <c r="AA120" s="5" t="s">
        <v>13</v>
      </c>
      <c r="AB120" s="5" t="s">
        <v>367</v>
      </c>
      <c r="AC120" s="5">
        <v>21</v>
      </c>
      <c r="AD120" s="5" t="s">
        <v>313</v>
      </c>
    </row>
    <row r="121" spans="1:30" s="6" customFormat="1" x14ac:dyDescent="0.2">
      <c r="A121" s="13">
        <v>119</v>
      </c>
      <c r="B121" s="5" t="s">
        <v>328</v>
      </c>
      <c r="C121" s="5"/>
      <c r="D121" s="31" t="s">
        <v>329</v>
      </c>
      <c r="E121" s="5"/>
      <c r="F121" s="5"/>
      <c r="G121" s="5"/>
      <c r="H121" s="5" t="s">
        <v>63</v>
      </c>
      <c r="I121" s="5"/>
      <c r="J121" s="5"/>
      <c r="K121" s="5"/>
      <c r="L121" s="5"/>
      <c r="M121" s="5"/>
      <c r="N121" s="5"/>
      <c r="O121" s="5"/>
      <c r="P121" s="5"/>
      <c r="Q121" s="5"/>
      <c r="R121" s="5" t="s">
        <v>403</v>
      </c>
      <c r="S121" s="48" t="s">
        <v>645</v>
      </c>
      <c r="T121" s="48"/>
      <c r="U121" s="22"/>
      <c r="V121" s="5" t="s">
        <v>516</v>
      </c>
      <c r="W121" s="5" t="s">
        <v>531</v>
      </c>
      <c r="X121" s="5"/>
      <c r="Y121" s="5" t="s">
        <v>257</v>
      </c>
      <c r="Z121" s="5"/>
      <c r="AA121" s="5" t="s">
        <v>81</v>
      </c>
      <c r="AB121" s="5"/>
      <c r="AC121" s="5">
        <v>22</v>
      </c>
      <c r="AD121" s="5" t="s">
        <v>311</v>
      </c>
    </row>
    <row r="122" spans="1:30" s="6" customFormat="1" x14ac:dyDescent="0.2">
      <c r="A122" s="13">
        <v>120</v>
      </c>
      <c r="B122" s="5" t="s">
        <v>328</v>
      </c>
      <c r="C122" s="5"/>
      <c r="D122" s="31" t="s">
        <v>286</v>
      </c>
      <c r="E122" s="5"/>
      <c r="F122" s="5"/>
      <c r="G122" s="5"/>
      <c r="H122" s="5">
        <v>7</v>
      </c>
      <c r="I122" s="5"/>
      <c r="J122" s="5"/>
      <c r="K122" s="5"/>
      <c r="L122" s="5"/>
      <c r="M122" s="5"/>
      <c r="N122" s="5"/>
      <c r="O122" s="5" t="s">
        <v>64</v>
      </c>
      <c r="P122" s="5"/>
      <c r="Q122" s="5"/>
      <c r="R122" s="5" t="s">
        <v>403</v>
      </c>
      <c r="S122" s="48" t="s">
        <v>645</v>
      </c>
      <c r="T122" s="48"/>
      <c r="U122" s="22"/>
      <c r="V122" s="5" t="s">
        <v>516</v>
      </c>
      <c r="W122" s="5" t="s">
        <v>532</v>
      </c>
      <c r="X122" s="5"/>
      <c r="Y122" s="5" t="s">
        <v>254</v>
      </c>
      <c r="Z122" s="5"/>
      <c r="AA122" s="5"/>
      <c r="AB122" s="5" t="s">
        <v>41</v>
      </c>
      <c r="AC122" s="5">
        <v>22</v>
      </c>
      <c r="AD122" s="5" t="s">
        <v>311</v>
      </c>
    </row>
    <row r="123" spans="1:30" s="6" customFormat="1" x14ac:dyDescent="0.2">
      <c r="A123" s="13">
        <v>121</v>
      </c>
      <c r="B123" s="5" t="s">
        <v>328</v>
      </c>
      <c r="C123" s="5"/>
      <c r="D123" s="31" t="s">
        <v>286</v>
      </c>
      <c r="E123" s="5"/>
      <c r="F123" s="5"/>
      <c r="G123" s="5"/>
      <c r="H123" s="5" t="s">
        <v>296</v>
      </c>
      <c r="I123" s="5"/>
      <c r="J123" s="5"/>
      <c r="K123" s="5"/>
      <c r="L123" s="5"/>
      <c r="M123" s="5"/>
      <c r="N123" s="5"/>
      <c r="O123" s="5" t="s">
        <v>64</v>
      </c>
      <c r="P123" s="5"/>
      <c r="Q123" s="5"/>
      <c r="R123" s="5" t="s">
        <v>403</v>
      </c>
      <c r="S123" s="48" t="s">
        <v>645</v>
      </c>
      <c r="T123" s="48"/>
      <c r="U123" s="22"/>
      <c r="V123" s="5" t="s">
        <v>516</v>
      </c>
      <c r="W123" s="5" t="s">
        <v>533</v>
      </c>
      <c r="X123" s="5"/>
      <c r="Y123" s="5" t="s">
        <v>255</v>
      </c>
      <c r="Z123" s="5"/>
      <c r="AA123" s="5"/>
      <c r="AB123" s="5" t="s">
        <v>41</v>
      </c>
      <c r="AC123" s="5">
        <v>22</v>
      </c>
      <c r="AD123" s="5" t="s">
        <v>311</v>
      </c>
    </row>
    <row r="124" spans="1:30" s="6" customFormat="1" x14ac:dyDescent="0.2">
      <c r="A124" s="13">
        <v>122</v>
      </c>
      <c r="B124" s="5" t="s">
        <v>328</v>
      </c>
      <c r="C124" s="5"/>
      <c r="D124" s="5" t="s">
        <v>314</v>
      </c>
      <c r="E124" s="5" t="s">
        <v>497</v>
      </c>
      <c r="F124" s="5"/>
      <c r="G124" s="5"/>
      <c r="H124" s="5"/>
      <c r="I124" s="5"/>
      <c r="J124" s="5"/>
      <c r="K124" s="5"/>
      <c r="L124" s="5"/>
      <c r="M124" s="5"/>
      <c r="N124" s="5"/>
      <c r="O124" s="5" t="s">
        <v>64</v>
      </c>
      <c r="P124" s="5">
        <v>1</v>
      </c>
      <c r="Q124" s="5"/>
      <c r="R124" s="5" t="s">
        <v>403</v>
      </c>
      <c r="S124" s="48"/>
      <c r="T124" s="48"/>
      <c r="U124" s="22"/>
      <c r="V124" s="5"/>
      <c r="W124" s="5"/>
      <c r="X124" s="5" t="s">
        <v>27</v>
      </c>
      <c r="Y124" s="5" t="s">
        <v>27</v>
      </c>
      <c r="Z124" s="5"/>
      <c r="AA124" s="5"/>
      <c r="AB124" s="5"/>
      <c r="AC124" s="5">
        <v>22</v>
      </c>
      <c r="AD124" s="5" t="s">
        <v>312</v>
      </c>
    </row>
    <row r="125" spans="1:30" s="6" customFormat="1" x14ac:dyDescent="0.2">
      <c r="A125" s="13">
        <v>123</v>
      </c>
      <c r="B125" s="5" t="s">
        <v>328</v>
      </c>
      <c r="C125" s="5"/>
      <c r="D125" s="22" t="s">
        <v>333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 t="s">
        <v>64</v>
      </c>
      <c r="P125" s="5"/>
      <c r="Q125" s="5"/>
      <c r="R125" s="5" t="s">
        <v>403</v>
      </c>
      <c r="S125" s="48"/>
      <c r="T125" s="48"/>
      <c r="U125" s="22"/>
      <c r="V125" s="5"/>
      <c r="W125" s="5"/>
      <c r="X125" s="5" t="s">
        <v>173</v>
      </c>
      <c r="Y125" s="5" t="s">
        <v>173</v>
      </c>
      <c r="Z125" s="5"/>
      <c r="AA125" s="5"/>
      <c r="AB125" s="5" t="s">
        <v>398</v>
      </c>
      <c r="AC125" s="5">
        <v>22</v>
      </c>
      <c r="AD125" s="5" t="s">
        <v>399</v>
      </c>
    </row>
    <row r="126" spans="1:30" s="6" customFormat="1" x14ac:dyDescent="0.2">
      <c r="A126" s="13">
        <v>124</v>
      </c>
      <c r="B126" s="5" t="s">
        <v>328</v>
      </c>
      <c r="C126" s="5"/>
      <c r="D126" s="5" t="s">
        <v>46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 t="s">
        <v>47</v>
      </c>
      <c r="P126" s="5"/>
      <c r="Q126" s="5"/>
      <c r="R126" s="5" t="s">
        <v>400</v>
      </c>
      <c r="S126" s="48"/>
      <c r="T126" s="48"/>
      <c r="U126" s="22"/>
      <c r="V126" s="36" t="s">
        <v>539</v>
      </c>
      <c r="W126" s="36">
        <v>2</v>
      </c>
      <c r="X126" s="5"/>
      <c r="Y126" s="5" t="s">
        <v>40</v>
      </c>
      <c r="Z126" s="5"/>
      <c r="AA126" s="5"/>
      <c r="AB126" s="5"/>
      <c r="AC126" s="5">
        <v>21</v>
      </c>
      <c r="AD126" s="5" t="s">
        <v>313</v>
      </c>
    </row>
    <row r="127" spans="1:30" s="6" customFormat="1" x14ac:dyDescent="0.2">
      <c r="A127" s="13">
        <v>125</v>
      </c>
      <c r="B127" s="5" t="s">
        <v>328</v>
      </c>
      <c r="C127" s="5"/>
      <c r="D127" s="5" t="s">
        <v>396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>
        <v>3</v>
      </c>
      <c r="P127" s="5"/>
      <c r="Q127" s="5"/>
      <c r="R127" s="5" t="s">
        <v>400</v>
      </c>
      <c r="S127" s="48"/>
      <c r="T127" s="48"/>
      <c r="U127" s="22"/>
      <c r="V127" s="5"/>
      <c r="W127" s="5"/>
      <c r="X127" s="5" t="s">
        <v>25</v>
      </c>
      <c r="Y127" s="5" t="s">
        <v>25</v>
      </c>
      <c r="Z127" s="5">
        <v>1</v>
      </c>
      <c r="AA127" s="5" t="s">
        <v>81</v>
      </c>
      <c r="AB127" s="5" t="s">
        <v>395</v>
      </c>
      <c r="AC127" s="5">
        <v>21</v>
      </c>
      <c r="AD127" s="5" t="s">
        <v>313</v>
      </c>
    </row>
    <row r="128" spans="1:30" s="6" customFormat="1" x14ac:dyDescent="0.2">
      <c r="A128" s="13">
        <v>126</v>
      </c>
      <c r="B128" s="5" t="s">
        <v>328</v>
      </c>
      <c r="C128" s="5"/>
      <c r="D128" s="5" t="s">
        <v>49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>
        <v>4</v>
      </c>
      <c r="P128" s="5"/>
      <c r="Q128" s="5"/>
      <c r="R128" s="5" t="s">
        <v>400</v>
      </c>
      <c r="S128" s="48"/>
      <c r="T128" s="48"/>
      <c r="U128" s="22"/>
      <c r="V128" s="36" t="s">
        <v>539</v>
      </c>
      <c r="W128" s="36">
        <v>3</v>
      </c>
      <c r="X128" s="5"/>
      <c r="Y128" s="5" t="s">
        <v>51</v>
      </c>
      <c r="Z128" s="5"/>
      <c r="AA128" s="5"/>
      <c r="AB128" s="5"/>
      <c r="AC128" s="5">
        <v>21</v>
      </c>
      <c r="AD128" s="5" t="s">
        <v>313</v>
      </c>
    </row>
    <row r="129" spans="1:30" s="6" customFormat="1" x14ac:dyDescent="0.2">
      <c r="A129" s="13">
        <v>127</v>
      </c>
      <c r="B129" s="5" t="s">
        <v>328</v>
      </c>
      <c r="C129" s="5"/>
      <c r="D129" s="5" t="s">
        <v>53</v>
      </c>
      <c r="E129" s="5" t="s">
        <v>497</v>
      </c>
      <c r="F129" s="5"/>
      <c r="G129" s="5"/>
      <c r="H129" s="5"/>
      <c r="I129" s="5"/>
      <c r="J129" s="5"/>
      <c r="K129" s="5"/>
      <c r="L129" s="5"/>
      <c r="M129" s="5"/>
      <c r="N129" s="5"/>
      <c r="O129" s="5">
        <v>4</v>
      </c>
      <c r="P129" s="5"/>
      <c r="Q129" s="5"/>
      <c r="R129" s="5" t="s">
        <v>400</v>
      </c>
      <c r="S129" s="48"/>
      <c r="T129" s="48"/>
      <c r="U129" s="22"/>
      <c r="V129" s="5"/>
      <c r="W129" s="5"/>
      <c r="X129" s="5" t="s">
        <v>44</v>
      </c>
      <c r="Y129" s="5" t="s">
        <v>44</v>
      </c>
      <c r="Z129" s="5">
        <v>1</v>
      </c>
      <c r="AA129" s="5" t="s">
        <v>81</v>
      </c>
      <c r="AB129" s="5" t="s">
        <v>54</v>
      </c>
      <c r="AC129" s="5">
        <v>21</v>
      </c>
      <c r="AD129" s="5" t="s">
        <v>313</v>
      </c>
    </row>
    <row r="130" spans="1:30" s="6" customFormat="1" x14ac:dyDescent="0.2">
      <c r="A130" s="13">
        <v>128</v>
      </c>
      <c r="B130" s="5" t="s">
        <v>328</v>
      </c>
      <c r="C130" s="5"/>
      <c r="D130" s="5" t="s">
        <v>55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>
        <v>5</v>
      </c>
      <c r="P130" s="5"/>
      <c r="Q130" s="5"/>
      <c r="R130" s="5" t="s">
        <v>400</v>
      </c>
      <c r="S130" s="48"/>
      <c r="T130" s="48"/>
      <c r="U130" s="22"/>
      <c r="V130" s="36" t="s">
        <v>539</v>
      </c>
      <c r="W130" s="36">
        <v>4</v>
      </c>
      <c r="X130" s="5"/>
      <c r="Y130" s="5" t="s">
        <v>56</v>
      </c>
      <c r="Z130" s="5"/>
      <c r="AA130" s="5"/>
      <c r="AB130" s="5"/>
      <c r="AC130" s="5">
        <v>21</v>
      </c>
      <c r="AD130" s="5" t="s">
        <v>313</v>
      </c>
    </row>
    <row r="131" spans="1:30" s="6" customFormat="1" x14ac:dyDescent="0.2">
      <c r="A131" s="13">
        <v>129</v>
      </c>
      <c r="B131" s="5" t="s">
        <v>328</v>
      </c>
      <c r="C131" s="5"/>
      <c r="D131" s="5" t="s">
        <v>53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>
        <v>5</v>
      </c>
      <c r="P131" s="5"/>
      <c r="Q131" s="5"/>
      <c r="R131" s="5" t="s">
        <v>400</v>
      </c>
      <c r="S131" s="38" t="s">
        <v>640</v>
      </c>
      <c r="T131" s="38"/>
      <c r="U131" s="47"/>
      <c r="V131" s="5" t="s">
        <v>526</v>
      </c>
      <c r="W131" s="5">
        <v>4</v>
      </c>
      <c r="X131" s="5"/>
      <c r="Y131" s="5" t="s">
        <v>255</v>
      </c>
      <c r="Z131" s="5">
        <v>1</v>
      </c>
      <c r="AA131" s="5" t="s">
        <v>81</v>
      </c>
      <c r="AB131" s="5" t="s">
        <v>59</v>
      </c>
      <c r="AC131" s="5">
        <v>21</v>
      </c>
      <c r="AD131" s="5" t="s">
        <v>313</v>
      </c>
    </row>
    <row r="132" spans="1:30" s="6" customFormat="1" x14ac:dyDescent="0.2">
      <c r="A132" s="13">
        <v>130</v>
      </c>
      <c r="B132" s="5" t="s">
        <v>328</v>
      </c>
      <c r="C132" s="5"/>
      <c r="D132" s="22" t="s">
        <v>53</v>
      </c>
      <c r="E132" s="5"/>
      <c r="F132" s="5"/>
      <c r="G132" s="5" t="s">
        <v>17</v>
      </c>
      <c r="H132" s="5" t="s">
        <v>63</v>
      </c>
      <c r="I132" s="5"/>
      <c r="J132" s="5"/>
      <c r="K132" s="5"/>
      <c r="L132" s="5"/>
      <c r="M132" s="5"/>
      <c r="N132" s="5"/>
      <c r="O132" s="5" t="s">
        <v>131</v>
      </c>
      <c r="P132" s="5"/>
      <c r="Q132" s="5"/>
      <c r="R132" s="5" t="s">
        <v>400</v>
      </c>
      <c r="S132" s="48" t="s">
        <v>645</v>
      </c>
      <c r="T132" s="48" t="s">
        <v>639</v>
      </c>
      <c r="U132" s="22" t="s">
        <v>63</v>
      </c>
      <c r="V132" s="5" t="s">
        <v>516</v>
      </c>
      <c r="W132" s="5" t="s">
        <v>533</v>
      </c>
      <c r="X132" s="5"/>
      <c r="Y132" s="5" t="s">
        <v>324</v>
      </c>
      <c r="Z132" s="5"/>
      <c r="AA132" s="5"/>
      <c r="AB132" s="5" t="s">
        <v>298</v>
      </c>
      <c r="AC132" s="5">
        <v>21</v>
      </c>
      <c r="AD132" s="5" t="s">
        <v>313</v>
      </c>
    </row>
    <row r="133" spans="1:30" s="6" customFormat="1" x14ac:dyDescent="0.2">
      <c r="A133" s="13">
        <v>131</v>
      </c>
      <c r="B133" s="5" t="s">
        <v>328</v>
      </c>
      <c r="C133" s="5"/>
      <c r="D133" s="22" t="s">
        <v>53</v>
      </c>
      <c r="E133" s="5"/>
      <c r="F133" s="5"/>
      <c r="G133" s="5" t="s">
        <v>242</v>
      </c>
      <c r="H133" s="5" t="s">
        <v>63</v>
      </c>
      <c r="I133" s="5"/>
      <c r="J133" s="5"/>
      <c r="K133" s="5"/>
      <c r="L133" s="5"/>
      <c r="M133" s="5"/>
      <c r="N133" s="5"/>
      <c r="O133" s="5" t="s">
        <v>131</v>
      </c>
      <c r="P133" s="5"/>
      <c r="Q133" s="5"/>
      <c r="R133" s="5" t="s">
        <v>401</v>
      </c>
      <c r="S133" s="48" t="s">
        <v>645</v>
      </c>
      <c r="T133" s="48" t="s">
        <v>639</v>
      </c>
      <c r="U133" s="22" t="s">
        <v>63</v>
      </c>
      <c r="V133" s="5"/>
      <c r="W133" s="5"/>
      <c r="X133" s="5" t="s">
        <v>61</v>
      </c>
      <c r="Y133" s="5" t="s">
        <v>61</v>
      </c>
      <c r="Z133" s="5"/>
      <c r="AA133" s="5"/>
      <c r="AB133" s="5" t="s">
        <v>298</v>
      </c>
      <c r="AC133" s="5">
        <v>21</v>
      </c>
      <c r="AD133" s="5" t="s">
        <v>313</v>
      </c>
    </row>
    <row r="134" spans="1:30" s="6" customFormat="1" x14ac:dyDescent="0.2">
      <c r="A134" s="13">
        <v>132</v>
      </c>
      <c r="B134" s="5" t="s">
        <v>328</v>
      </c>
      <c r="C134" s="5"/>
      <c r="D134" s="22" t="s">
        <v>53</v>
      </c>
      <c r="E134" s="5"/>
      <c r="F134" s="5"/>
      <c r="G134" s="5" t="s">
        <v>36</v>
      </c>
      <c r="H134" s="5" t="s">
        <v>63</v>
      </c>
      <c r="I134" s="5"/>
      <c r="J134" s="5"/>
      <c r="K134" s="5"/>
      <c r="L134" s="5"/>
      <c r="M134" s="5"/>
      <c r="N134" s="5"/>
      <c r="O134" s="5" t="s">
        <v>131</v>
      </c>
      <c r="P134" s="5"/>
      <c r="Q134" s="5"/>
      <c r="R134" s="5" t="s">
        <v>402</v>
      </c>
      <c r="S134" s="48" t="s">
        <v>645</v>
      </c>
      <c r="T134" s="48" t="s">
        <v>639</v>
      </c>
      <c r="U134" s="22" t="s">
        <v>63</v>
      </c>
      <c r="V134" s="5"/>
      <c r="W134" s="5"/>
      <c r="X134" s="5" t="s">
        <v>62</v>
      </c>
      <c r="Y134" s="5" t="s">
        <v>62</v>
      </c>
      <c r="Z134" s="5"/>
      <c r="AA134" s="5"/>
      <c r="AB134" s="5" t="s">
        <v>298</v>
      </c>
      <c r="AC134" s="5">
        <v>21</v>
      </c>
      <c r="AD134" s="5" t="s">
        <v>313</v>
      </c>
    </row>
    <row r="135" spans="1:30" s="6" customFormat="1" x14ac:dyDescent="0.2">
      <c r="A135" s="13">
        <v>133</v>
      </c>
      <c r="B135" s="5" t="s">
        <v>328</v>
      </c>
      <c r="C135" s="5"/>
      <c r="D135" s="22" t="s">
        <v>275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 t="s">
        <v>131</v>
      </c>
      <c r="P135" s="5"/>
      <c r="Q135" s="5"/>
      <c r="R135" s="5" t="s">
        <v>400</v>
      </c>
      <c r="S135" s="48"/>
      <c r="T135" s="48"/>
      <c r="U135" s="22"/>
      <c r="V135" s="5" t="s">
        <v>526</v>
      </c>
      <c r="W135" s="5">
        <v>3</v>
      </c>
      <c r="X135" s="5"/>
      <c r="Y135" s="5" t="s">
        <v>254</v>
      </c>
      <c r="Z135" s="5">
        <v>1</v>
      </c>
      <c r="AA135" s="5" t="s">
        <v>13</v>
      </c>
      <c r="AB135" s="5" t="s">
        <v>367</v>
      </c>
      <c r="AC135" s="5">
        <v>21</v>
      </c>
      <c r="AD135" s="5" t="s">
        <v>313</v>
      </c>
    </row>
    <row r="136" spans="1:30" s="6" customFormat="1" x14ac:dyDescent="0.2">
      <c r="A136" s="13">
        <v>134</v>
      </c>
      <c r="B136" s="5" t="s">
        <v>328</v>
      </c>
      <c r="C136" s="5"/>
      <c r="D136" s="31" t="s">
        <v>329</v>
      </c>
      <c r="E136" s="5"/>
      <c r="F136" s="5"/>
      <c r="G136" s="5"/>
      <c r="H136" s="5" t="s">
        <v>63</v>
      </c>
      <c r="I136" s="5"/>
      <c r="J136" s="5"/>
      <c r="K136" s="5"/>
      <c r="L136" s="5"/>
      <c r="M136" s="5"/>
      <c r="N136" s="5"/>
      <c r="O136" s="5"/>
      <c r="P136" s="5"/>
      <c r="Q136" s="5"/>
      <c r="R136" s="5" t="s">
        <v>400</v>
      </c>
      <c r="S136" s="48" t="s">
        <v>645</v>
      </c>
      <c r="T136" s="48"/>
      <c r="U136" s="22"/>
      <c r="V136" s="5" t="s">
        <v>516</v>
      </c>
      <c r="W136" s="5" t="s">
        <v>531</v>
      </c>
      <c r="X136" s="5"/>
      <c r="Y136" s="5" t="s">
        <v>257</v>
      </c>
      <c r="Z136" s="5"/>
      <c r="AA136" s="5" t="s">
        <v>81</v>
      </c>
      <c r="AB136" s="5"/>
      <c r="AC136" s="5">
        <v>22</v>
      </c>
      <c r="AD136" s="5" t="s">
        <v>311</v>
      </c>
    </row>
    <row r="137" spans="1:30" s="6" customFormat="1" x14ac:dyDescent="0.2">
      <c r="A137" s="13">
        <v>135</v>
      </c>
      <c r="B137" s="5" t="s">
        <v>328</v>
      </c>
      <c r="C137" s="5"/>
      <c r="D137" s="31" t="s">
        <v>286</v>
      </c>
      <c r="E137" s="5"/>
      <c r="F137" s="5"/>
      <c r="G137" s="5"/>
      <c r="H137" s="5">
        <v>7</v>
      </c>
      <c r="I137" s="5"/>
      <c r="J137" s="5"/>
      <c r="K137" s="5"/>
      <c r="L137" s="5"/>
      <c r="M137" s="5"/>
      <c r="N137" s="5"/>
      <c r="O137" s="5" t="s">
        <v>64</v>
      </c>
      <c r="P137" s="5"/>
      <c r="Q137" s="5"/>
      <c r="R137" s="5" t="s">
        <v>400</v>
      </c>
      <c r="S137" s="48" t="s">
        <v>645</v>
      </c>
      <c r="T137" s="48" t="s">
        <v>642</v>
      </c>
      <c r="U137" s="22" t="s">
        <v>651</v>
      </c>
      <c r="V137" s="5" t="s">
        <v>516</v>
      </c>
      <c r="W137" s="5" t="s">
        <v>532</v>
      </c>
      <c r="X137" s="5"/>
      <c r="Y137" s="5" t="s">
        <v>254</v>
      </c>
      <c r="Z137" s="5"/>
      <c r="AA137" s="5"/>
      <c r="AB137" s="5" t="s">
        <v>41</v>
      </c>
      <c r="AC137" s="5">
        <v>22</v>
      </c>
      <c r="AD137" s="5" t="s">
        <v>311</v>
      </c>
    </row>
    <row r="138" spans="1:30" s="6" customFormat="1" x14ac:dyDescent="0.2">
      <c r="A138" s="13">
        <v>136</v>
      </c>
      <c r="B138" s="5" t="s">
        <v>328</v>
      </c>
      <c r="C138" s="5"/>
      <c r="D138" s="31" t="s">
        <v>286</v>
      </c>
      <c r="E138" s="5"/>
      <c r="F138" s="5"/>
      <c r="G138" s="5"/>
      <c r="H138" s="5" t="s">
        <v>296</v>
      </c>
      <c r="I138" s="5"/>
      <c r="J138" s="5"/>
      <c r="K138" s="5"/>
      <c r="L138" s="5"/>
      <c r="M138" s="5"/>
      <c r="N138" s="5"/>
      <c r="O138" s="5" t="s">
        <v>64</v>
      </c>
      <c r="P138" s="5"/>
      <c r="Q138" s="5"/>
      <c r="R138" s="5" t="s">
        <v>400</v>
      </c>
      <c r="S138" s="48" t="s">
        <v>645</v>
      </c>
      <c r="T138" s="48" t="s">
        <v>642</v>
      </c>
      <c r="U138" s="22" t="s">
        <v>651</v>
      </c>
      <c r="V138" s="5" t="s">
        <v>516</v>
      </c>
      <c r="W138" s="5" t="s">
        <v>533</v>
      </c>
      <c r="X138" s="5"/>
      <c r="Y138" s="5" t="s">
        <v>255</v>
      </c>
      <c r="Z138" s="5"/>
      <c r="AA138" s="5"/>
      <c r="AB138" s="5" t="s">
        <v>41</v>
      </c>
      <c r="AC138" s="5">
        <v>22</v>
      </c>
      <c r="AD138" s="5" t="s">
        <v>311</v>
      </c>
    </row>
    <row r="139" spans="1:30" s="6" customFormat="1" x14ac:dyDescent="0.2">
      <c r="A139" s="13">
        <v>137</v>
      </c>
      <c r="B139" s="5" t="s">
        <v>328</v>
      </c>
      <c r="C139" s="5"/>
      <c r="D139" s="22" t="s">
        <v>333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 t="s">
        <v>64</v>
      </c>
      <c r="P139" s="5"/>
      <c r="Q139" s="5"/>
      <c r="R139" s="5" t="s">
        <v>400</v>
      </c>
      <c r="S139" s="48"/>
      <c r="T139" s="48"/>
      <c r="U139" s="22"/>
      <c r="V139" s="5"/>
      <c r="W139" s="5"/>
      <c r="X139" s="5" t="s">
        <v>173</v>
      </c>
      <c r="Y139" s="5" t="s">
        <v>173</v>
      </c>
      <c r="Z139" s="5"/>
      <c r="AA139" s="5"/>
      <c r="AB139" s="5" t="s">
        <v>398</v>
      </c>
      <c r="AC139" s="5">
        <v>22</v>
      </c>
      <c r="AD139" s="5" t="s">
        <v>399</v>
      </c>
    </row>
    <row r="140" spans="1:30" s="6" customFormat="1" x14ac:dyDescent="0.2">
      <c r="A140" s="13">
        <v>138</v>
      </c>
      <c r="B140" s="5" t="s">
        <v>328</v>
      </c>
      <c r="C140" s="5"/>
      <c r="D140" s="22" t="s">
        <v>366</v>
      </c>
      <c r="E140" s="5"/>
      <c r="F140" s="5"/>
      <c r="G140" s="5" t="s">
        <v>16</v>
      </c>
      <c r="H140" s="5" t="s">
        <v>63</v>
      </c>
      <c r="I140" s="5"/>
      <c r="J140" s="5"/>
      <c r="K140" s="5"/>
      <c r="L140" s="5"/>
      <c r="M140" s="5"/>
      <c r="N140" s="5"/>
      <c r="O140" s="5"/>
      <c r="P140" s="5"/>
      <c r="Q140" s="5"/>
      <c r="R140" s="5" t="s">
        <v>359</v>
      </c>
      <c r="S140" s="48" t="s">
        <v>645</v>
      </c>
      <c r="T140" s="48"/>
      <c r="U140" s="22"/>
      <c r="V140" s="5" t="s">
        <v>516</v>
      </c>
      <c r="W140" s="5" t="s">
        <v>530</v>
      </c>
      <c r="X140" s="5"/>
      <c r="Y140" s="5" t="s">
        <v>34</v>
      </c>
      <c r="Z140" s="5"/>
      <c r="AA140" s="5" t="s">
        <v>81</v>
      </c>
      <c r="AB140" s="5"/>
      <c r="AC140" s="5">
        <v>13</v>
      </c>
      <c r="AD140" s="5" t="s">
        <v>311</v>
      </c>
    </row>
    <row r="141" spans="1:30" s="6" customFormat="1" x14ac:dyDescent="0.2">
      <c r="A141" s="13">
        <v>139</v>
      </c>
      <c r="B141" s="5" t="s">
        <v>328</v>
      </c>
      <c r="C141" s="5"/>
      <c r="D141" s="22" t="s">
        <v>329</v>
      </c>
      <c r="E141" s="5"/>
      <c r="F141" s="5"/>
      <c r="G141" s="5" t="s">
        <v>16</v>
      </c>
      <c r="H141" s="5" t="s">
        <v>63</v>
      </c>
      <c r="I141" s="5"/>
      <c r="J141" s="5"/>
      <c r="K141" s="5"/>
      <c r="L141" s="5"/>
      <c r="M141" s="5"/>
      <c r="N141" s="5"/>
      <c r="O141" s="5"/>
      <c r="P141" s="5"/>
      <c r="Q141" s="5"/>
      <c r="R141" s="5" t="s">
        <v>359</v>
      </c>
      <c r="S141" s="48" t="s">
        <v>645</v>
      </c>
      <c r="T141" s="48" t="s">
        <v>642</v>
      </c>
      <c r="U141" s="22" t="s">
        <v>652</v>
      </c>
      <c r="V141" s="5" t="s">
        <v>516</v>
      </c>
      <c r="W141" s="5" t="s">
        <v>531</v>
      </c>
      <c r="X141" s="5"/>
      <c r="Y141" s="5" t="s">
        <v>40</v>
      </c>
      <c r="Z141" s="5"/>
      <c r="AA141" s="5" t="s">
        <v>81</v>
      </c>
      <c r="AB141" s="5"/>
      <c r="AC141" s="5">
        <v>13</v>
      </c>
      <c r="AD141" s="5" t="s">
        <v>311</v>
      </c>
    </row>
    <row r="142" spans="1:30" s="6" customFormat="1" x14ac:dyDescent="0.2">
      <c r="A142" s="13">
        <v>140</v>
      </c>
      <c r="B142" s="5" t="s">
        <v>328</v>
      </c>
      <c r="C142" s="5"/>
      <c r="D142" s="22" t="s">
        <v>309</v>
      </c>
      <c r="E142" s="5"/>
      <c r="F142" s="5"/>
      <c r="G142" s="5" t="s">
        <v>17</v>
      </c>
      <c r="H142" s="5" t="s">
        <v>63</v>
      </c>
      <c r="I142" s="5" t="s">
        <v>16</v>
      </c>
      <c r="J142" s="5" t="s">
        <v>131</v>
      </c>
      <c r="K142" s="5"/>
      <c r="L142" s="5"/>
      <c r="M142" s="5"/>
      <c r="N142" s="5"/>
      <c r="O142" s="5"/>
      <c r="P142" s="5"/>
      <c r="Q142" s="5"/>
      <c r="R142" s="5" t="s">
        <v>359</v>
      </c>
      <c r="S142" s="48" t="s">
        <v>646</v>
      </c>
      <c r="T142" s="48"/>
      <c r="U142" s="22"/>
      <c r="V142" s="5" t="s">
        <v>516</v>
      </c>
      <c r="W142" s="5" t="s">
        <v>535</v>
      </c>
      <c r="X142" s="5"/>
      <c r="Y142" s="5" t="s">
        <v>34</v>
      </c>
      <c r="Z142" s="5"/>
      <c r="AA142" s="5" t="s">
        <v>81</v>
      </c>
      <c r="AB142" s="5"/>
      <c r="AC142" s="5">
        <v>13</v>
      </c>
      <c r="AD142" s="5" t="s">
        <v>311</v>
      </c>
    </row>
    <row r="143" spans="1:30" s="6" customFormat="1" x14ac:dyDescent="0.2">
      <c r="A143" s="13">
        <v>141</v>
      </c>
      <c r="B143" s="5" t="s">
        <v>328</v>
      </c>
      <c r="C143" s="5"/>
      <c r="D143" s="22" t="s">
        <v>282</v>
      </c>
      <c r="E143" s="5"/>
      <c r="F143" s="5"/>
      <c r="G143" s="5" t="s">
        <v>52</v>
      </c>
      <c r="H143" s="5" t="s">
        <v>63</v>
      </c>
      <c r="I143" s="5"/>
      <c r="J143" s="5"/>
      <c r="K143" s="5"/>
      <c r="L143" s="5"/>
      <c r="M143" s="5"/>
      <c r="N143" s="5"/>
      <c r="O143" s="5"/>
      <c r="P143" s="5"/>
      <c r="Q143" s="5"/>
      <c r="R143" s="5" t="s">
        <v>360</v>
      </c>
      <c r="S143" s="48" t="s">
        <v>645</v>
      </c>
      <c r="T143" s="48"/>
      <c r="U143" s="22"/>
      <c r="V143" s="5"/>
      <c r="W143" s="5"/>
      <c r="X143" s="5" t="s">
        <v>12</v>
      </c>
      <c r="Y143" s="5" t="s">
        <v>12</v>
      </c>
      <c r="Z143" s="5"/>
      <c r="AA143" s="5" t="s">
        <v>20</v>
      </c>
      <c r="AB143" s="5"/>
      <c r="AC143" s="5">
        <v>13</v>
      </c>
      <c r="AD143" s="5" t="s">
        <v>311</v>
      </c>
    </row>
    <row r="144" spans="1:30" s="6" customFormat="1" x14ac:dyDescent="0.2">
      <c r="A144" s="13">
        <v>142</v>
      </c>
      <c r="B144" s="5" t="s">
        <v>328</v>
      </c>
      <c r="C144" s="5"/>
      <c r="D144" s="22" t="s">
        <v>329</v>
      </c>
      <c r="E144" s="5"/>
      <c r="F144" s="5"/>
      <c r="G144" s="5" t="s">
        <v>78</v>
      </c>
      <c r="H144" s="5" t="s">
        <v>63</v>
      </c>
      <c r="I144" s="5"/>
      <c r="J144" s="5"/>
      <c r="K144" s="5"/>
      <c r="L144" s="5"/>
      <c r="M144" s="5"/>
      <c r="N144" s="5"/>
      <c r="O144" s="5"/>
      <c r="P144" s="5"/>
      <c r="Q144" s="5"/>
      <c r="R144" s="5" t="s">
        <v>361</v>
      </c>
      <c r="S144" s="48" t="s">
        <v>645</v>
      </c>
      <c r="T144" s="48"/>
      <c r="U144" s="22"/>
      <c r="V144" s="5"/>
      <c r="W144" s="5"/>
      <c r="X144" s="5" t="s">
        <v>19</v>
      </c>
      <c r="Y144" s="5" t="s">
        <v>19</v>
      </c>
      <c r="Z144" s="5"/>
      <c r="AA144" s="5" t="s">
        <v>20</v>
      </c>
      <c r="AB144" s="5"/>
      <c r="AC144" s="5">
        <v>13</v>
      </c>
      <c r="AD144" s="5" t="s">
        <v>311</v>
      </c>
    </row>
    <row r="145" spans="1:30" s="6" customFormat="1" x14ac:dyDescent="0.2">
      <c r="A145" s="13">
        <v>143</v>
      </c>
      <c r="B145" s="5" t="s">
        <v>328</v>
      </c>
      <c r="C145" s="5"/>
      <c r="D145" s="22" t="s">
        <v>310</v>
      </c>
      <c r="E145" s="5">
        <v>4441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 t="s">
        <v>359</v>
      </c>
      <c r="S145" s="48"/>
      <c r="T145" s="48"/>
      <c r="U145" s="22"/>
      <c r="V145" s="1" t="s">
        <v>538</v>
      </c>
      <c r="W145" s="5">
        <v>1</v>
      </c>
      <c r="X145" s="5"/>
      <c r="Y145" s="5" t="s">
        <v>34</v>
      </c>
      <c r="Z145" s="5"/>
      <c r="AA145" s="5" t="s">
        <v>81</v>
      </c>
      <c r="AB145" s="5"/>
      <c r="AC145" s="5">
        <v>13</v>
      </c>
      <c r="AD145" s="5" t="s">
        <v>311</v>
      </c>
    </row>
    <row r="146" spans="1:30" s="6" customFormat="1" x14ac:dyDescent="0.2">
      <c r="A146" s="13">
        <v>144</v>
      </c>
      <c r="B146" s="5" t="s">
        <v>328</v>
      </c>
      <c r="C146" s="5"/>
      <c r="D146" s="22" t="s">
        <v>329</v>
      </c>
      <c r="E146" s="5">
        <v>4441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 t="s">
        <v>364</v>
      </c>
      <c r="S146" s="48"/>
      <c r="T146" s="38" t="s">
        <v>626</v>
      </c>
      <c r="U146" s="22" t="s">
        <v>615</v>
      </c>
      <c r="V146" s="1"/>
      <c r="W146" s="5"/>
      <c r="X146" s="5" t="s">
        <v>65</v>
      </c>
      <c r="Y146" s="5" t="s">
        <v>65</v>
      </c>
      <c r="Z146" s="5"/>
      <c r="AA146" s="5" t="s">
        <v>81</v>
      </c>
      <c r="AB146" s="5"/>
      <c r="AC146" s="5">
        <v>13</v>
      </c>
      <c r="AD146" s="5" t="s">
        <v>311</v>
      </c>
    </row>
    <row r="147" spans="1:30" s="6" customFormat="1" x14ac:dyDescent="0.2">
      <c r="A147" s="13">
        <v>145</v>
      </c>
      <c r="B147" s="5" t="s">
        <v>328</v>
      </c>
      <c r="C147" s="5"/>
      <c r="D147" s="22" t="s">
        <v>310</v>
      </c>
      <c r="E147" s="5">
        <v>4432</v>
      </c>
      <c r="F147" s="5"/>
      <c r="G147" s="5"/>
      <c r="H147" s="5"/>
      <c r="I147" s="5" t="s">
        <v>16</v>
      </c>
      <c r="J147" s="5">
        <v>4</v>
      </c>
      <c r="K147" s="5"/>
      <c r="L147" s="5"/>
      <c r="M147" s="5"/>
      <c r="N147" s="5"/>
      <c r="O147" s="5"/>
      <c r="P147" s="5"/>
      <c r="Q147" s="5"/>
      <c r="R147" s="5" t="s">
        <v>359</v>
      </c>
      <c r="S147" s="48" t="s">
        <v>646</v>
      </c>
      <c r="T147" s="22"/>
      <c r="U147" s="22"/>
      <c r="V147" s="5" t="s">
        <v>516</v>
      </c>
      <c r="W147" s="5" t="s">
        <v>535</v>
      </c>
      <c r="X147" s="5"/>
      <c r="Y147" s="5" t="s">
        <v>34</v>
      </c>
      <c r="Z147" s="5"/>
      <c r="AA147" s="5" t="s">
        <v>81</v>
      </c>
      <c r="AB147" s="5"/>
      <c r="AC147" s="5">
        <v>13</v>
      </c>
      <c r="AD147" s="5" t="s">
        <v>311</v>
      </c>
    </row>
    <row r="148" spans="1:30" s="6" customFormat="1" x14ac:dyDescent="0.2">
      <c r="A148" s="13">
        <v>146</v>
      </c>
      <c r="B148" s="5" t="s">
        <v>328</v>
      </c>
      <c r="C148" s="5"/>
      <c r="D148" s="22" t="s">
        <v>310</v>
      </c>
      <c r="E148" s="5"/>
      <c r="F148" s="5"/>
      <c r="G148" s="5"/>
      <c r="H148" s="5" t="s">
        <v>63</v>
      </c>
      <c r="I148" s="5"/>
      <c r="J148" s="5"/>
      <c r="K148" s="5"/>
      <c r="L148" s="5"/>
      <c r="M148" s="5"/>
      <c r="N148" s="5"/>
      <c r="O148" s="5"/>
      <c r="P148" s="5"/>
      <c r="Q148" s="5"/>
      <c r="R148" s="5" t="s">
        <v>359</v>
      </c>
      <c r="S148" s="48" t="s">
        <v>645</v>
      </c>
      <c r="T148" s="22"/>
      <c r="U148" s="22"/>
      <c r="V148" s="5" t="s">
        <v>516</v>
      </c>
      <c r="W148" s="5" t="s">
        <v>530</v>
      </c>
      <c r="X148" s="5"/>
      <c r="Y148" s="5" t="s">
        <v>256</v>
      </c>
      <c r="Z148" s="5"/>
      <c r="AA148" s="5" t="s">
        <v>81</v>
      </c>
      <c r="AB148" s="5"/>
      <c r="AC148" s="5">
        <v>13</v>
      </c>
      <c r="AD148" s="5" t="s">
        <v>311</v>
      </c>
    </row>
    <row r="149" spans="1:30" s="6" customFormat="1" x14ac:dyDescent="0.2">
      <c r="A149" s="13">
        <v>147</v>
      </c>
      <c r="B149" s="5" t="s">
        <v>328</v>
      </c>
      <c r="C149" s="5"/>
      <c r="D149" s="22" t="s">
        <v>286</v>
      </c>
      <c r="E149" s="5"/>
      <c r="F149" s="5"/>
      <c r="G149" s="5"/>
      <c r="H149" s="5" t="s">
        <v>43</v>
      </c>
      <c r="I149" s="5"/>
      <c r="J149" s="5"/>
      <c r="K149" s="5"/>
      <c r="L149" s="5"/>
      <c r="M149" s="5"/>
      <c r="N149" s="5"/>
      <c r="O149" s="5"/>
      <c r="P149" s="5"/>
      <c r="Q149" s="5"/>
      <c r="R149" s="5" t="s">
        <v>359</v>
      </c>
      <c r="S149" s="48" t="s">
        <v>645</v>
      </c>
      <c r="T149" s="48"/>
      <c r="U149" s="22"/>
      <c r="V149" s="5" t="s">
        <v>516</v>
      </c>
      <c r="W149" s="5" t="s">
        <v>532</v>
      </c>
      <c r="X149" s="5"/>
      <c r="Y149" s="5" t="s">
        <v>254</v>
      </c>
      <c r="Z149" s="5"/>
      <c r="AA149" s="5"/>
      <c r="AB149" s="5" t="s">
        <v>41</v>
      </c>
      <c r="AC149" s="5">
        <v>13</v>
      </c>
      <c r="AD149" s="5" t="s">
        <v>311</v>
      </c>
    </row>
    <row r="150" spans="1:30" s="6" customFormat="1" x14ac:dyDescent="0.2">
      <c r="A150" s="13">
        <v>148</v>
      </c>
      <c r="B150" s="5" t="s">
        <v>328</v>
      </c>
      <c r="C150" s="5"/>
      <c r="D150" s="22" t="s">
        <v>314</v>
      </c>
      <c r="E150" s="5" t="s">
        <v>497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>
        <v>1</v>
      </c>
      <c r="Q150" s="5"/>
      <c r="R150" s="5" t="s">
        <v>359</v>
      </c>
      <c r="S150" s="48"/>
      <c r="T150" s="48" t="s">
        <v>633</v>
      </c>
      <c r="U150" s="22" t="s">
        <v>634</v>
      </c>
      <c r="V150" s="5"/>
      <c r="W150" s="5"/>
      <c r="X150" s="5" t="s">
        <v>27</v>
      </c>
      <c r="Y150" s="5" t="s">
        <v>27</v>
      </c>
      <c r="Z150" s="5"/>
      <c r="AA150" s="5"/>
      <c r="AB150" s="5"/>
      <c r="AC150" s="5">
        <v>14</v>
      </c>
      <c r="AD150" s="5" t="s">
        <v>312</v>
      </c>
    </row>
    <row r="151" spans="1:30" s="6" customFormat="1" x14ac:dyDescent="0.2">
      <c r="A151" s="13">
        <v>149</v>
      </c>
      <c r="B151" s="5" t="s">
        <v>328</v>
      </c>
      <c r="C151" s="5"/>
      <c r="D151" s="22" t="s">
        <v>287</v>
      </c>
      <c r="E151" s="5" t="s">
        <v>497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>
        <v>1</v>
      </c>
      <c r="Q151" s="5"/>
      <c r="R151" s="5" t="s">
        <v>359</v>
      </c>
      <c r="S151" s="48"/>
      <c r="T151" s="48" t="s">
        <v>633</v>
      </c>
      <c r="U151" s="22" t="s">
        <v>634</v>
      </c>
      <c r="V151" s="5"/>
      <c r="W151" s="5"/>
      <c r="X151" s="5" t="s">
        <v>25</v>
      </c>
      <c r="Y151" s="5" t="s">
        <v>25</v>
      </c>
      <c r="Z151" s="5"/>
      <c r="AA151" s="5"/>
      <c r="AB151" s="5"/>
      <c r="AC151" s="5">
        <v>14</v>
      </c>
      <c r="AD151" s="5" t="s">
        <v>312</v>
      </c>
    </row>
    <row r="152" spans="1:30" s="6" customFormat="1" x14ac:dyDescent="0.2">
      <c r="A152" s="13">
        <v>150</v>
      </c>
      <c r="B152" s="5" t="s">
        <v>328</v>
      </c>
      <c r="C152" s="5"/>
      <c r="D152" s="22" t="s">
        <v>288</v>
      </c>
      <c r="E152" s="5" t="s">
        <v>497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>
        <v>1</v>
      </c>
      <c r="Q152" s="5"/>
      <c r="R152" s="5" t="s">
        <v>359</v>
      </c>
      <c r="S152" s="48"/>
      <c r="T152" s="48" t="s">
        <v>633</v>
      </c>
      <c r="U152" s="22" t="s">
        <v>634</v>
      </c>
      <c r="V152" s="5"/>
      <c r="W152" s="5"/>
      <c r="X152" s="5" t="s">
        <v>44</v>
      </c>
      <c r="Y152" s="5" t="s">
        <v>44</v>
      </c>
      <c r="Z152" s="5"/>
      <c r="AA152" s="5"/>
      <c r="AB152" s="5"/>
      <c r="AC152" s="5">
        <v>14</v>
      </c>
      <c r="AD152" s="5" t="s">
        <v>312</v>
      </c>
    </row>
    <row r="153" spans="1:30" s="6" customFormat="1" x14ac:dyDescent="0.2">
      <c r="A153" s="13">
        <v>151</v>
      </c>
      <c r="B153" s="5" t="s">
        <v>328</v>
      </c>
      <c r="C153" s="5"/>
      <c r="D153" s="22" t="s">
        <v>289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 t="s">
        <v>63</v>
      </c>
      <c r="P153" s="5"/>
      <c r="Q153" s="5"/>
      <c r="R153" s="5" t="s">
        <v>360</v>
      </c>
      <c r="S153" s="48"/>
      <c r="T153" s="48"/>
      <c r="U153" s="22"/>
      <c r="V153" s="5"/>
      <c r="W153" s="5"/>
      <c r="X153" s="5" t="s">
        <v>19</v>
      </c>
      <c r="Y153" s="5" t="s">
        <v>19</v>
      </c>
      <c r="Z153" s="5"/>
      <c r="AA153" s="5"/>
      <c r="AB153" s="5"/>
      <c r="AC153" s="5">
        <v>14</v>
      </c>
      <c r="AD153" s="5" t="s">
        <v>313</v>
      </c>
    </row>
    <row r="154" spans="1:30" s="6" customFormat="1" x14ac:dyDescent="0.2">
      <c r="A154" s="13">
        <v>152</v>
      </c>
      <c r="B154" s="5" t="s">
        <v>328</v>
      </c>
      <c r="C154" s="5"/>
      <c r="D154" s="22" t="s">
        <v>290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 t="s">
        <v>63</v>
      </c>
      <c r="P154" s="5"/>
      <c r="Q154" s="5"/>
      <c r="R154" s="5" t="s">
        <v>360</v>
      </c>
      <c r="S154" s="48"/>
      <c r="T154" s="48"/>
      <c r="U154" s="22"/>
      <c r="V154" s="5"/>
      <c r="W154" s="5"/>
      <c r="X154" s="5" t="s">
        <v>74</v>
      </c>
      <c r="Y154" s="5" t="s">
        <v>74</v>
      </c>
      <c r="Z154" s="5"/>
      <c r="AA154" s="5"/>
      <c r="AB154" s="5"/>
      <c r="AC154" s="5">
        <v>14</v>
      </c>
      <c r="AD154" s="5" t="s">
        <v>313</v>
      </c>
    </row>
    <row r="155" spans="1:30" s="6" customFormat="1" x14ac:dyDescent="0.2">
      <c r="A155" s="13">
        <v>153</v>
      </c>
      <c r="B155" s="5" t="s">
        <v>328</v>
      </c>
      <c r="C155" s="5"/>
      <c r="D155" s="22" t="s">
        <v>289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 t="s">
        <v>131</v>
      </c>
      <c r="P155" s="5"/>
      <c r="Q155" s="5"/>
      <c r="R155" s="5" t="s">
        <v>361</v>
      </c>
      <c r="S155" s="48"/>
      <c r="T155" s="48"/>
      <c r="U155" s="22"/>
      <c r="V155" s="5"/>
      <c r="W155" s="5"/>
      <c r="X155" s="5" t="s">
        <v>12</v>
      </c>
      <c r="Y155" s="5" t="s">
        <v>12</v>
      </c>
      <c r="Z155" s="5"/>
      <c r="AA155" s="5"/>
      <c r="AB155" s="5"/>
      <c r="AC155" s="5">
        <v>14</v>
      </c>
      <c r="AD155" s="5" t="s">
        <v>313</v>
      </c>
    </row>
    <row r="156" spans="1:30" s="6" customFormat="1" x14ac:dyDescent="0.2">
      <c r="A156" s="13">
        <v>154</v>
      </c>
      <c r="B156" s="5" t="s">
        <v>328</v>
      </c>
      <c r="C156" s="5"/>
      <c r="D156" s="22" t="s">
        <v>290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 t="s">
        <v>131</v>
      </c>
      <c r="P156" s="5"/>
      <c r="Q156" s="5"/>
      <c r="R156" s="5" t="s">
        <v>361</v>
      </c>
      <c r="S156" s="48"/>
      <c r="T156" s="48"/>
      <c r="U156" s="22"/>
      <c r="V156" s="5"/>
      <c r="W156" s="5"/>
      <c r="X156" s="5" t="s">
        <v>291</v>
      </c>
      <c r="Y156" s="5" t="s">
        <v>291</v>
      </c>
      <c r="Z156" s="5"/>
      <c r="AA156" s="5"/>
      <c r="AB156" s="5"/>
      <c r="AC156" s="5">
        <v>14</v>
      </c>
      <c r="AD156" s="5" t="s">
        <v>313</v>
      </c>
    </row>
    <row r="157" spans="1:30" s="6" customFormat="1" x14ac:dyDescent="0.2">
      <c r="A157" s="13">
        <v>155</v>
      </c>
      <c r="B157" s="5" t="s">
        <v>328</v>
      </c>
      <c r="C157" s="5"/>
      <c r="D157" s="22" t="s">
        <v>333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 t="s">
        <v>362</v>
      </c>
      <c r="S157" s="48"/>
      <c r="T157" s="48" t="s">
        <v>633</v>
      </c>
      <c r="U157" s="22" t="s">
        <v>634</v>
      </c>
      <c r="V157" s="5"/>
      <c r="W157" s="5"/>
      <c r="X157" s="5" t="s">
        <v>173</v>
      </c>
      <c r="Y157" s="5" t="s">
        <v>173</v>
      </c>
      <c r="Z157" s="5"/>
      <c r="AA157" s="5"/>
      <c r="AB157" s="5"/>
      <c r="AC157" s="5">
        <v>14</v>
      </c>
      <c r="AD157" s="5" t="s">
        <v>332</v>
      </c>
    </row>
    <row r="158" spans="1:30" s="6" customFormat="1" x14ac:dyDescent="0.2">
      <c r="A158" s="13">
        <v>156</v>
      </c>
      <c r="B158" s="5" t="s">
        <v>328</v>
      </c>
      <c r="C158" s="5"/>
      <c r="D158" s="22" t="s">
        <v>333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 t="s">
        <v>363</v>
      </c>
      <c r="S158" s="48"/>
      <c r="T158" s="38" t="s">
        <v>626</v>
      </c>
      <c r="U158" s="22" t="s">
        <v>632</v>
      </c>
      <c r="V158" s="5"/>
      <c r="W158" s="5"/>
      <c r="X158" s="5" t="s">
        <v>173</v>
      </c>
      <c r="Y158" s="5" t="s">
        <v>173</v>
      </c>
      <c r="Z158" s="5"/>
      <c r="AA158" s="5"/>
      <c r="AB158" s="5"/>
      <c r="AC158" s="5">
        <v>14</v>
      </c>
      <c r="AD158" s="5" t="s">
        <v>332</v>
      </c>
    </row>
    <row r="159" spans="1:30" s="6" customFormat="1" x14ac:dyDescent="0.2">
      <c r="A159" s="13">
        <v>157</v>
      </c>
      <c r="B159" s="5" t="s">
        <v>328</v>
      </c>
      <c r="C159" s="5"/>
      <c r="D159" s="22" t="s">
        <v>333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 t="s">
        <v>364</v>
      </c>
      <c r="S159" s="48"/>
      <c r="T159" s="38" t="s">
        <v>626</v>
      </c>
      <c r="U159" s="22" t="s">
        <v>615</v>
      </c>
      <c r="V159" s="5"/>
      <c r="W159" s="5"/>
      <c r="X159" s="5" t="s">
        <v>173</v>
      </c>
      <c r="Y159" s="5" t="s">
        <v>173</v>
      </c>
      <c r="Z159" s="5"/>
      <c r="AA159" s="5"/>
      <c r="AB159" s="5" t="s">
        <v>365</v>
      </c>
      <c r="AC159" s="5">
        <v>14</v>
      </c>
      <c r="AD159" s="5" t="s">
        <v>332</v>
      </c>
    </row>
    <row r="160" spans="1:30" s="6" customFormat="1" x14ac:dyDescent="0.2">
      <c r="A160" s="13">
        <v>158</v>
      </c>
      <c r="B160" s="5" t="s">
        <v>328</v>
      </c>
      <c r="C160" s="5"/>
      <c r="D160" s="22" t="s">
        <v>275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 t="s">
        <v>359</v>
      </c>
      <c r="S160" s="48"/>
      <c r="T160" s="48" t="s">
        <v>633</v>
      </c>
      <c r="U160" s="22" t="s">
        <v>634</v>
      </c>
      <c r="V160" s="5" t="s">
        <v>526</v>
      </c>
      <c r="W160" s="5">
        <v>2</v>
      </c>
      <c r="X160" s="5"/>
      <c r="Y160" s="5" t="s">
        <v>257</v>
      </c>
      <c r="Z160" s="5"/>
      <c r="AA160" s="5"/>
      <c r="AB160" s="5" t="s">
        <v>367</v>
      </c>
      <c r="AC160" s="5">
        <v>15</v>
      </c>
      <c r="AD160" s="5" t="s">
        <v>367</v>
      </c>
    </row>
    <row r="161" spans="1:30" s="6" customFormat="1" x14ac:dyDescent="0.2">
      <c r="A161" s="13">
        <v>159</v>
      </c>
      <c r="B161" s="5" t="s">
        <v>328</v>
      </c>
      <c r="C161" s="5"/>
      <c r="D161" s="22" t="s">
        <v>329</v>
      </c>
      <c r="E161" s="5"/>
      <c r="F161" s="5"/>
      <c r="G161" s="5" t="s">
        <v>16</v>
      </c>
      <c r="H161" s="5" t="s">
        <v>63</v>
      </c>
      <c r="I161" s="5"/>
      <c r="J161" s="5"/>
      <c r="K161" s="5"/>
      <c r="L161" s="5"/>
      <c r="M161" s="5"/>
      <c r="N161" s="5"/>
      <c r="O161" s="5"/>
      <c r="P161" s="5"/>
      <c r="Q161" s="5"/>
      <c r="R161" s="5" t="s">
        <v>404</v>
      </c>
      <c r="S161" s="48"/>
      <c r="T161" s="48"/>
      <c r="U161" s="22"/>
      <c r="V161" s="5" t="s">
        <v>516</v>
      </c>
      <c r="W161" s="5" t="s">
        <v>531</v>
      </c>
      <c r="X161" s="5"/>
      <c r="Y161" s="5" t="s">
        <v>40</v>
      </c>
      <c r="Z161" s="5"/>
      <c r="AA161" s="5" t="s">
        <v>81</v>
      </c>
      <c r="AB161" s="5"/>
      <c r="AC161" s="5">
        <v>13</v>
      </c>
      <c r="AD161" s="5" t="s">
        <v>311</v>
      </c>
    </row>
    <row r="162" spans="1:30" s="6" customFormat="1" x14ac:dyDescent="0.2">
      <c r="A162" s="13">
        <v>160</v>
      </c>
      <c r="B162" s="5" t="s">
        <v>328</v>
      </c>
      <c r="C162" s="5"/>
      <c r="D162" s="22" t="s">
        <v>329</v>
      </c>
      <c r="E162" s="5">
        <v>4441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 t="s">
        <v>404</v>
      </c>
      <c r="S162" s="48"/>
      <c r="T162" s="48"/>
      <c r="U162" s="22"/>
      <c r="V162" s="1" t="s">
        <v>538</v>
      </c>
      <c r="W162" s="5">
        <v>2</v>
      </c>
      <c r="X162" s="5"/>
      <c r="Y162" s="5" t="s">
        <v>40</v>
      </c>
      <c r="Z162" s="5"/>
      <c r="AA162" s="5" t="s">
        <v>81</v>
      </c>
      <c r="AB162" s="5"/>
      <c r="AC162" s="5">
        <v>13</v>
      </c>
      <c r="AD162" s="5" t="s">
        <v>311</v>
      </c>
    </row>
    <row r="163" spans="1:30" s="6" customFormat="1" x14ac:dyDescent="0.2">
      <c r="A163" s="13">
        <v>161</v>
      </c>
      <c r="B163" s="5" t="s">
        <v>328</v>
      </c>
      <c r="C163" s="5"/>
      <c r="D163" s="22" t="s">
        <v>329</v>
      </c>
      <c r="E163" s="5">
        <v>4432</v>
      </c>
      <c r="F163" s="5"/>
      <c r="G163" s="5"/>
      <c r="H163" s="5"/>
      <c r="I163" s="5" t="s">
        <v>16</v>
      </c>
      <c r="J163" s="5">
        <v>4</v>
      </c>
      <c r="K163" s="5"/>
      <c r="L163" s="5"/>
      <c r="M163" s="5"/>
      <c r="N163" s="5"/>
      <c r="O163" s="5"/>
      <c r="P163" s="5"/>
      <c r="Q163" s="5"/>
      <c r="R163" s="5" t="s">
        <v>404</v>
      </c>
      <c r="S163" s="48"/>
      <c r="T163" s="22"/>
      <c r="U163" s="22"/>
      <c r="V163" s="5" t="s">
        <v>516</v>
      </c>
      <c r="W163" s="5" t="s">
        <v>536</v>
      </c>
      <c r="X163" s="5"/>
      <c r="Y163" s="5" t="s">
        <v>40</v>
      </c>
      <c r="Z163" s="5"/>
      <c r="AA163" s="5" t="s">
        <v>81</v>
      </c>
      <c r="AB163" s="5"/>
      <c r="AC163" s="5">
        <v>13</v>
      </c>
      <c r="AD163" s="5" t="s">
        <v>311</v>
      </c>
    </row>
    <row r="164" spans="1:30" s="6" customFormat="1" x14ac:dyDescent="0.2">
      <c r="A164" s="13">
        <v>162</v>
      </c>
      <c r="B164" s="5" t="s">
        <v>328</v>
      </c>
      <c r="C164" s="5"/>
      <c r="D164" s="22" t="s">
        <v>286</v>
      </c>
      <c r="E164" s="5"/>
      <c r="F164" s="5"/>
      <c r="G164" s="5" t="s">
        <v>16</v>
      </c>
      <c r="H164" s="5" t="s">
        <v>43</v>
      </c>
      <c r="I164" s="5"/>
      <c r="J164" s="5"/>
      <c r="K164" s="5"/>
      <c r="L164" s="5"/>
      <c r="M164" s="5"/>
      <c r="N164" s="5"/>
      <c r="O164" s="5"/>
      <c r="P164" s="5"/>
      <c r="Q164" s="5"/>
      <c r="R164" s="5" t="s">
        <v>404</v>
      </c>
      <c r="S164" s="48"/>
      <c r="T164" s="48"/>
      <c r="U164" s="22"/>
      <c r="V164" s="5" t="s">
        <v>516</v>
      </c>
      <c r="W164" s="5" t="s">
        <v>532</v>
      </c>
      <c r="X164" s="5"/>
      <c r="Y164" s="5" t="s">
        <v>254</v>
      </c>
      <c r="Z164" s="5"/>
      <c r="AA164" s="5"/>
      <c r="AB164" s="5" t="s">
        <v>41</v>
      </c>
      <c r="AC164" s="5">
        <v>13</v>
      </c>
      <c r="AD164" s="5" t="s">
        <v>311</v>
      </c>
    </row>
    <row r="165" spans="1:30" s="6" customFormat="1" x14ac:dyDescent="0.2">
      <c r="A165" s="13">
        <v>163</v>
      </c>
      <c r="B165" s="5" t="s">
        <v>328</v>
      </c>
      <c r="C165" s="5"/>
      <c r="D165" s="22" t="s">
        <v>287</v>
      </c>
      <c r="E165" s="5" t="s">
        <v>497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>
        <v>1</v>
      </c>
      <c r="Q165" s="5"/>
      <c r="R165" s="5" t="s">
        <v>404</v>
      </c>
      <c r="S165" s="48"/>
      <c r="T165" s="48" t="s">
        <v>633</v>
      </c>
      <c r="U165" s="22" t="s">
        <v>634</v>
      </c>
      <c r="V165" s="5"/>
      <c r="W165" s="5"/>
      <c r="X165" s="5" t="s">
        <v>25</v>
      </c>
      <c r="Y165" s="5" t="s">
        <v>25</v>
      </c>
      <c r="Z165" s="5"/>
      <c r="AA165" s="5"/>
      <c r="AB165" s="5"/>
      <c r="AC165" s="5">
        <v>14</v>
      </c>
      <c r="AD165" s="5" t="s">
        <v>312</v>
      </c>
    </row>
    <row r="166" spans="1:30" s="6" customFormat="1" x14ac:dyDescent="0.2">
      <c r="A166" s="13">
        <v>164</v>
      </c>
      <c r="B166" s="5" t="s">
        <v>328</v>
      </c>
      <c r="C166" s="5"/>
      <c r="D166" s="22" t="s">
        <v>288</v>
      </c>
      <c r="E166" s="5" t="s">
        <v>497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>
        <v>1</v>
      </c>
      <c r="Q166" s="5"/>
      <c r="R166" s="5" t="s">
        <v>404</v>
      </c>
      <c r="S166" s="48"/>
      <c r="T166" s="48" t="s">
        <v>633</v>
      </c>
      <c r="U166" s="22" t="s">
        <v>634</v>
      </c>
      <c r="V166" s="5"/>
      <c r="W166" s="5"/>
      <c r="X166" s="5" t="s">
        <v>44</v>
      </c>
      <c r="Y166" s="5" t="s">
        <v>44</v>
      </c>
      <c r="Z166" s="5"/>
      <c r="AA166" s="5"/>
      <c r="AB166" s="5"/>
      <c r="AC166" s="5">
        <v>14</v>
      </c>
      <c r="AD166" s="5" t="s">
        <v>312</v>
      </c>
    </row>
    <row r="167" spans="1:30" s="6" customFormat="1" x14ac:dyDescent="0.2">
      <c r="A167" s="13">
        <v>165</v>
      </c>
      <c r="B167" s="5" t="s">
        <v>328</v>
      </c>
      <c r="C167" s="5"/>
      <c r="D167" s="22" t="s">
        <v>289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 t="s">
        <v>131</v>
      </c>
      <c r="P167" s="5"/>
      <c r="Q167" s="5"/>
      <c r="R167" s="5" t="s">
        <v>404</v>
      </c>
      <c r="S167" s="48"/>
      <c r="T167" s="48"/>
      <c r="U167" s="22"/>
      <c r="V167" s="5"/>
      <c r="W167" s="5"/>
      <c r="X167" s="5" t="s">
        <v>12</v>
      </c>
      <c r="Y167" s="5" t="s">
        <v>12</v>
      </c>
      <c r="Z167" s="5"/>
      <c r="AA167" s="5"/>
      <c r="AB167" s="5"/>
      <c r="AC167" s="5">
        <v>14</v>
      </c>
      <c r="AD167" s="5" t="s">
        <v>313</v>
      </c>
    </row>
    <row r="168" spans="1:30" s="6" customFormat="1" x14ac:dyDescent="0.2">
      <c r="A168" s="13">
        <v>166</v>
      </c>
      <c r="B168" s="5" t="s">
        <v>328</v>
      </c>
      <c r="C168" s="5"/>
      <c r="D168" s="22" t="s">
        <v>290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 t="s">
        <v>131</v>
      </c>
      <c r="P168" s="5"/>
      <c r="Q168" s="5"/>
      <c r="R168" s="5" t="s">
        <v>404</v>
      </c>
      <c r="S168" s="48"/>
      <c r="T168" s="48"/>
      <c r="U168" s="22"/>
      <c r="V168" s="5"/>
      <c r="W168" s="5"/>
      <c r="X168" s="5" t="s">
        <v>291</v>
      </c>
      <c r="Y168" s="5" t="s">
        <v>291</v>
      </c>
      <c r="Z168" s="5"/>
      <c r="AA168" s="5"/>
      <c r="AB168" s="5"/>
      <c r="AC168" s="5">
        <v>14</v>
      </c>
      <c r="AD168" s="5" t="s">
        <v>313</v>
      </c>
    </row>
    <row r="169" spans="1:30" s="6" customFormat="1" x14ac:dyDescent="0.2">
      <c r="A169" s="13">
        <v>167</v>
      </c>
      <c r="B169" s="5" t="s">
        <v>542</v>
      </c>
      <c r="C169" s="5"/>
      <c r="D169" s="22" t="s">
        <v>408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>
        <v>3</v>
      </c>
      <c r="P169" s="5"/>
      <c r="Q169" s="5"/>
      <c r="R169" s="5" t="s">
        <v>407</v>
      </c>
      <c r="S169" s="48"/>
      <c r="T169" s="48"/>
      <c r="U169" s="22"/>
      <c r="V169" s="36" t="s">
        <v>539</v>
      </c>
      <c r="W169" s="36">
        <v>2</v>
      </c>
      <c r="X169" s="5"/>
      <c r="Y169" s="5" t="s">
        <v>40</v>
      </c>
      <c r="Z169" s="5"/>
      <c r="AA169" s="5"/>
      <c r="AB169" s="5"/>
      <c r="AC169" s="5">
        <v>22</v>
      </c>
      <c r="AD169" s="5" t="s">
        <v>542</v>
      </c>
    </row>
    <row r="170" spans="1:30" s="6" customFormat="1" x14ac:dyDescent="0.2">
      <c r="A170" s="13">
        <v>168</v>
      </c>
      <c r="B170" s="5" t="s">
        <v>542</v>
      </c>
      <c r="C170" s="5"/>
      <c r="D170" s="22" t="s">
        <v>38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>
        <v>4</v>
      </c>
      <c r="P170" s="5"/>
      <c r="Q170" s="5"/>
      <c r="R170" s="5" t="s">
        <v>407</v>
      </c>
      <c r="S170" s="48"/>
      <c r="T170" s="48"/>
      <c r="U170" s="22"/>
      <c r="V170" s="36" t="s">
        <v>539</v>
      </c>
      <c r="W170" s="36">
        <v>3</v>
      </c>
      <c r="X170" s="5"/>
      <c r="Y170" s="5" t="s">
        <v>51</v>
      </c>
      <c r="Z170" s="5"/>
      <c r="AA170" s="5"/>
      <c r="AB170" s="5" t="s">
        <v>41</v>
      </c>
      <c r="AC170" s="5">
        <v>22</v>
      </c>
      <c r="AD170" s="5" t="s">
        <v>542</v>
      </c>
    </row>
    <row r="171" spans="1:30" s="6" customFormat="1" x14ac:dyDescent="0.2">
      <c r="A171" s="13">
        <v>169</v>
      </c>
      <c r="B171" s="5" t="s">
        <v>542</v>
      </c>
      <c r="C171" s="5"/>
      <c r="D171" s="22" t="s">
        <v>38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>
        <v>5</v>
      </c>
      <c r="P171" s="5"/>
      <c r="Q171" s="5"/>
      <c r="R171" s="5" t="s">
        <v>407</v>
      </c>
      <c r="S171" s="48"/>
      <c r="T171" s="48"/>
      <c r="U171" s="22"/>
      <c r="V171" s="36" t="s">
        <v>539</v>
      </c>
      <c r="W171" s="36">
        <v>4</v>
      </c>
      <c r="X171" s="5"/>
      <c r="Y171" s="5" t="s">
        <v>56</v>
      </c>
      <c r="Z171" s="5"/>
      <c r="AA171" s="5"/>
      <c r="AB171" s="5" t="s">
        <v>41</v>
      </c>
      <c r="AC171" s="5">
        <v>22</v>
      </c>
      <c r="AD171" s="5" t="s">
        <v>542</v>
      </c>
    </row>
    <row r="172" spans="1:30" s="6" customFormat="1" x14ac:dyDescent="0.2">
      <c r="A172" s="13">
        <v>170</v>
      </c>
      <c r="B172" s="5" t="s">
        <v>542</v>
      </c>
      <c r="C172" s="5"/>
      <c r="D172" s="22" t="s">
        <v>380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 t="s">
        <v>131</v>
      </c>
      <c r="P172" s="5"/>
      <c r="Q172" s="5"/>
      <c r="R172" s="5" t="s">
        <v>407</v>
      </c>
      <c r="S172" s="48"/>
      <c r="T172" s="48"/>
      <c r="U172" s="22"/>
      <c r="V172" s="5"/>
      <c r="W172" s="5"/>
      <c r="X172" s="5" t="s">
        <v>25</v>
      </c>
      <c r="Y172" s="5" t="s">
        <v>25</v>
      </c>
      <c r="Z172" s="5">
        <v>1</v>
      </c>
      <c r="AA172" s="5"/>
      <c r="AB172" s="5" t="s">
        <v>367</v>
      </c>
      <c r="AC172" s="5">
        <v>22</v>
      </c>
      <c r="AD172" s="5" t="s">
        <v>542</v>
      </c>
    </row>
    <row r="173" spans="1:30" s="6" customFormat="1" x14ac:dyDescent="0.2">
      <c r="A173" s="13">
        <v>171</v>
      </c>
      <c r="B173" s="5" t="s">
        <v>542</v>
      </c>
      <c r="C173" s="5"/>
      <c r="D173" s="22" t="s">
        <v>275</v>
      </c>
      <c r="E173" s="5" t="s">
        <v>122</v>
      </c>
      <c r="F173" s="5"/>
      <c r="G173" s="5"/>
      <c r="H173" s="5" t="s">
        <v>77</v>
      </c>
      <c r="I173" s="5"/>
      <c r="J173" s="5"/>
      <c r="K173" s="5"/>
      <c r="L173" s="5"/>
      <c r="M173" s="5"/>
      <c r="N173" s="5"/>
      <c r="O173" s="5"/>
      <c r="P173" s="5"/>
      <c r="Q173" s="5"/>
      <c r="R173" s="5" t="s">
        <v>407</v>
      </c>
      <c r="S173" s="48" t="s">
        <v>645</v>
      </c>
      <c r="T173" s="48"/>
      <c r="U173" s="22"/>
      <c r="V173" s="5" t="s">
        <v>516</v>
      </c>
      <c r="W173" s="5" t="s">
        <v>531</v>
      </c>
      <c r="X173" s="5"/>
      <c r="Y173" s="5" t="s">
        <v>257</v>
      </c>
      <c r="Z173" s="5"/>
      <c r="AA173" s="5"/>
      <c r="AB173" s="5"/>
      <c r="AC173" s="5">
        <v>22</v>
      </c>
      <c r="AD173" s="5" t="s">
        <v>542</v>
      </c>
    </row>
    <row r="174" spans="1:30" s="6" customFormat="1" x14ac:dyDescent="0.2">
      <c r="A174" s="13">
        <v>172</v>
      </c>
      <c r="B174" s="5" t="s">
        <v>542</v>
      </c>
      <c r="C174" s="5"/>
      <c r="D174" s="22" t="s">
        <v>380</v>
      </c>
      <c r="E174" s="5"/>
      <c r="F174" s="5"/>
      <c r="G174" s="5"/>
      <c r="H174" s="5" t="s">
        <v>63</v>
      </c>
      <c r="I174" s="5"/>
      <c r="J174" s="5"/>
      <c r="K174" s="5"/>
      <c r="L174" s="5"/>
      <c r="M174" s="5"/>
      <c r="N174" s="5"/>
      <c r="O174" s="5" t="s">
        <v>131</v>
      </c>
      <c r="P174" s="5"/>
      <c r="Q174" s="5"/>
      <c r="R174" s="5" t="s">
        <v>407</v>
      </c>
      <c r="S174" s="48" t="s">
        <v>645</v>
      </c>
      <c r="T174" s="48"/>
      <c r="U174" s="22"/>
      <c r="V174" s="5" t="s">
        <v>516</v>
      </c>
      <c r="W174" s="5" t="s">
        <v>532</v>
      </c>
      <c r="X174" s="5"/>
      <c r="Y174" s="5" t="s">
        <v>254</v>
      </c>
      <c r="Z174" s="5"/>
      <c r="AA174" s="5"/>
      <c r="AB174" s="5" t="s">
        <v>298</v>
      </c>
      <c r="AC174" s="5">
        <v>22</v>
      </c>
      <c r="AD174" s="5" t="s">
        <v>542</v>
      </c>
    </row>
    <row r="175" spans="1:30" s="6" customFormat="1" x14ac:dyDescent="0.2">
      <c r="A175" s="13">
        <v>173</v>
      </c>
      <c r="B175" s="5" t="s">
        <v>542</v>
      </c>
      <c r="C175" s="5"/>
      <c r="D175" s="22" t="s">
        <v>325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 t="s">
        <v>407</v>
      </c>
      <c r="S175" s="48"/>
      <c r="T175" s="48"/>
      <c r="U175" s="22"/>
      <c r="V175" s="5"/>
      <c r="W175" s="5"/>
      <c r="X175" s="5" t="s">
        <v>173</v>
      </c>
      <c r="Y175" s="5" t="s">
        <v>173</v>
      </c>
      <c r="Z175" s="5"/>
      <c r="AA175" s="5"/>
      <c r="AB175" s="5"/>
      <c r="AC175" s="5">
        <v>22</v>
      </c>
      <c r="AD175" s="5" t="s">
        <v>542</v>
      </c>
    </row>
    <row r="176" spans="1:30" s="6" customFormat="1" ht="16" x14ac:dyDescent="0.2">
      <c r="A176" s="13">
        <v>174</v>
      </c>
      <c r="B176" s="5" t="s">
        <v>542</v>
      </c>
      <c r="C176" s="5"/>
      <c r="D176" s="22" t="s">
        <v>325</v>
      </c>
      <c r="E176" s="5" t="s">
        <v>123</v>
      </c>
      <c r="F176" s="8" t="s">
        <v>241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 t="s">
        <v>368</v>
      </c>
      <c r="S176" s="48"/>
      <c r="T176" s="48"/>
      <c r="U176" s="22"/>
      <c r="V176" s="5"/>
      <c r="W176" s="5"/>
      <c r="X176" s="5" t="s">
        <v>19</v>
      </c>
      <c r="Y176" s="5" t="s">
        <v>19</v>
      </c>
      <c r="Z176" s="5"/>
      <c r="AA176" s="5"/>
      <c r="AB176" s="5"/>
      <c r="AC176" s="5">
        <v>15</v>
      </c>
      <c r="AD176" s="5" t="s">
        <v>542</v>
      </c>
    </row>
    <row r="177" spans="1:30" s="6" customFormat="1" x14ac:dyDescent="0.2">
      <c r="A177" s="13">
        <v>175</v>
      </c>
      <c r="B177" s="5" t="s">
        <v>542</v>
      </c>
      <c r="C177" s="5"/>
      <c r="D177" s="22" t="s">
        <v>325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 t="s">
        <v>63</v>
      </c>
      <c r="P177" s="5"/>
      <c r="Q177" s="5"/>
      <c r="R177" s="5" t="s">
        <v>369</v>
      </c>
      <c r="S177" s="48"/>
      <c r="T177" s="48"/>
      <c r="U177" s="22"/>
      <c r="V177" s="5"/>
      <c r="W177" s="5"/>
      <c r="X177" s="5" t="s">
        <v>12</v>
      </c>
      <c r="Y177" s="5" t="s">
        <v>12</v>
      </c>
      <c r="Z177" s="5"/>
      <c r="AA177" s="5"/>
      <c r="AB177" s="5"/>
      <c r="AC177" s="5">
        <v>15</v>
      </c>
      <c r="AD177" s="5" t="s">
        <v>542</v>
      </c>
    </row>
    <row r="178" spans="1:30" s="6" customFormat="1" x14ac:dyDescent="0.2">
      <c r="A178" s="13">
        <v>176</v>
      </c>
      <c r="B178" s="5" t="s">
        <v>542</v>
      </c>
      <c r="C178" s="5"/>
      <c r="D178" s="22" t="s">
        <v>38</v>
      </c>
      <c r="E178" s="5" t="s">
        <v>122</v>
      </c>
      <c r="F178" s="5"/>
      <c r="G178" s="5"/>
      <c r="H178" s="5">
        <v>7</v>
      </c>
      <c r="I178" s="5"/>
      <c r="J178" s="5"/>
      <c r="K178" s="5"/>
      <c r="L178" s="5"/>
      <c r="M178" s="5"/>
      <c r="N178" s="5"/>
      <c r="O178" s="5"/>
      <c r="P178" s="5"/>
      <c r="Q178" s="5"/>
      <c r="R178" s="5" t="s">
        <v>368</v>
      </c>
      <c r="S178" s="48" t="s">
        <v>645</v>
      </c>
      <c r="T178" s="48" t="s">
        <v>639</v>
      </c>
      <c r="U178" s="22" t="s">
        <v>131</v>
      </c>
      <c r="V178" s="5" t="s">
        <v>516</v>
      </c>
      <c r="W178" s="5" t="s">
        <v>532</v>
      </c>
      <c r="X178" s="5"/>
      <c r="Y178" s="5" t="s">
        <v>254</v>
      </c>
      <c r="Z178" s="5"/>
      <c r="AA178" s="5"/>
      <c r="AB178" s="5" t="s">
        <v>41</v>
      </c>
      <c r="AC178" s="5">
        <v>15</v>
      </c>
      <c r="AD178" s="5" t="s">
        <v>542</v>
      </c>
    </row>
    <row r="179" spans="1:30" s="6" customFormat="1" x14ac:dyDescent="0.2">
      <c r="A179" s="13">
        <v>177</v>
      </c>
      <c r="B179" s="5" t="s">
        <v>542</v>
      </c>
      <c r="C179" s="5"/>
      <c r="D179" s="22" t="s">
        <v>38</v>
      </c>
      <c r="E179" s="5" t="s">
        <v>122</v>
      </c>
      <c r="F179" s="5"/>
      <c r="G179" s="5" t="s">
        <v>17</v>
      </c>
      <c r="H179" s="5" t="s">
        <v>294</v>
      </c>
      <c r="I179" s="5"/>
      <c r="J179" s="5"/>
      <c r="K179" s="5"/>
      <c r="L179" s="5"/>
      <c r="M179" s="5"/>
      <c r="N179" s="5"/>
      <c r="O179" s="5"/>
      <c r="P179" s="5"/>
      <c r="Q179" s="5"/>
      <c r="R179" s="5" t="s">
        <v>368</v>
      </c>
      <c r="S179" s="48" t="s">
        <v>645</v>
      </c>
      <c r="T179" s="48" t="s">
        <v>639</v>
      </c>
      <c r="U179" s="22" t="s">
        <v>131</v>
      </c>
      <c r="V179" s="5" t="s">
        <v>516</v>
      </c>
      <c r="W179" s="5" t="s">
        <v>534</v>
      </c>
      <c r="X179" s="5"/>
      <c r="Y179" s="5" t="s">
        <v>295</v>
      </c>
      <c r="Z179" s="5"/>
      <c r="AA179" s="5"/>
      <c r="AB179" s="5" t="s">
        <v>41</v>
      </c>
      <c r="AC179" s="5">
        <v>15</v>
      </c>
      <c r="AD179" s="5" t="s">
        <v>542</v>
      </c>
    </row>
    <row r="180" spans="1:30" s="6" customFormat="1" x14ac:dyDescent="0.2">
      <c r="A180" s="13">
        <v>178</v>
      </c>
      <c r="B180" s="5" t="s">
        <v>542</v>
      </c>
      <c r="C180" s="5"/>
      <c r="D180" s="22" t="s">
        <v>38</v>
      </c>
      <c r="E180" s="5" t="s">
        <v>122</v>
      </c>
      <c r="F180" s="5"/>
      <c r="G180" s="5"/>
      <c r="H180" s="5" t="s">
        <v>296</v>
      </c>
      <c r="I180" s="5"/>
      <c r="J180" s="5"/>
      <c r="K180" s="5"/>
      <c r="L180" s="5"/>
      <c r="M180" s="5"/>
      <c r="N180" s="5"/>
      <c r="O180" s="5"/>
      <c r="P180" s="5"/>
      <c r="Q180" s="5"/>
      <c r="R180" s="5" t="s">
        <v>368</v>
      </c>
      <c r="S180" s="48" t="s">
        <v>645</v>
      </c>
      <c r="T180" s="48" t="s">
        <v>639</v>
      </c>
      <c r="U180" s="22" t="s">
        <v>131</v>
      </c>
      <c r="V180" s="5" t="s">
        <v>516</v>
      </c>
      <c r="W180" s="5" t="s">
        <v>533</v>
      </c>
      <c r="X180" s="5"/>
      <c r="Y180" s="5" t="s">
        <v>255</v>
      </c>
      <c r="Z180" s="5"/>
      <c r="AA180" s="5"/>
      <c r="AB180" s="5" t="s">
        <v>41</v>
      </c>
      <c r="AC180" s="5">
        <v>15</v>
      </c>
      <c r="AD180" s="5" t="s">
        <v>542</v>
      </c>
    </row>
    <row r="181" spans="1:30" s="6" customFormat="1" x14ac:dyDescent="0.2">
      <c r="A181" s="13">
        <v>179</v>
      </c>
      <c r="B181" s="5" t="s">
        <v>542</v>
      </c>
      <c r="C181" s="5"/>
      <c r="D181" s="22" t="s">
        <v>370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 t="s">
        <v>63</v>
      </c>
      <c r="P181" s="5"/>
      <c r="Q181" s="5"/>
      <c r="R181" s="5" t="s">
        <v>368</v>
      </c>
      <c r="S181" s="48"/>
      <c r="T181" s="48"/>
      <c r="U181" s="22"/>
      <c r="V181" s="5"/>
      <c r="W181" s="5"/>
      <c r="X181" s="5" t="s">
        <v>25</v>
      </c>
      <c r="Y181" s="5" t="s">
        <v>25</v>
      </c>
      <c r="Z181" s="5"/>
      <c r="AA181" s="5" t="s">
        <v>13</v>
      </c>
      <c r="AB181" s="5" t="s">
        <v>367</v>
      </c>
      <c r="AC181" s="5">
        <v>15</v>
      </c>
      <c r="AD181" s="5" t="s">
        <v>542</v>
      </c>
    </row>
    <row r="182" spans="1:30" s="6" customFormat="1" x14ac:dyDescent="0.2">
      <c r="A182" s="13">
        <v>180</v>
      </c>
      <c r="B182" s="5" t="s">
        <v>542</v>
      </c>
      <c r="C182" s="5"/>
      <c r="D182" s="22" t="s">
        <v>325</v>
      </c>
      <c r="E182" s="5" t="s">
        <v>122</v>
      </c>
      <c r="F182" s="5"/>
      <c r="G182" s="5"/>
      <c r="H182" s="5" t="s">
        <v>77</v>
      </c>
      <c r="I182" s="5"/>
      <c r="J182" s="5"/>
      <c r="K182" s="5"/>
      <c r="L182" s="5"/>
      <c r="M182" s="5"/>
      <c r="N182" s="5"/>
      <c r="O182" s="5"/>
      <c r="P182" s="5"/>
      <c r="Q182" s="5"/>
      <c r="R182" s="5" t="s">
        <v>368</v>
      </c>
      <c r="S182" s="48" t="s">
        <v>645</v>
      </c>
      <c r="T182" s="48"/>
      <c r="U182" s="22"/>
      <c r="V182" s="5" t="s">
        <v>516</v>
      </c>
      <c r="W182" s="5" t="s">
        <v>530</v>
      </c>
      <c r="X182" s="5"/>
      <c r="Y182" s="5" t="s">
        <v>256</v>
      </c>
      <c r="Z182" s="5"/>
      <c r="AA182" s="5"/>
      <c r="AB182" s="5"/>
      <c r="AC182" s="5">
        <v>15</v>
      </c>
      <c r="AD182" s="5" t="s">
        <v>542</v>
      </c>
    </row>
    <row r="183" spans="1:30" s="6" customFormat="1" x14ac:dyDescent="0.2">
      <c r="A183" s="13">
        <v>181</v>
      </c>
      <c r="B183" s="5" t="s">
        <v>542</v>
      </c>
      <c r="C183" s="5"/>
      <c r="D183" s="22" t="s">
        <v>275</v>
      </c>
      <c r="E183" s="5" t="s">
        <v>122</v>
      </c>
      <c r="F183" s="5"/>
      <c r="G183" s="5"/>
      <c r="H183" s="5" t="s">
        <v>77</v>
      </c>
      <c r="I183" s="5"/>
      <c r="J183" s="5"/>
      <c r="K183" s="5"/>
      <c r="L183" s="5"/>
      <c r="M183" s="5"/>
      <c r="N183" s="5"/>
      <c r="O183" s="5"/>
      <c r="P183" s="5"/>
      <c r="Q183" s="5"/>
      <c r="R183" s="5" t="s">
        <v>368</v>
      </c>
      <c r="S183" s="48" t="s">
        <v>645</v>
      </c>
      <c r="T183" s="48"/>
      <c r="U183" s="22"/>
      <c r="V183" s="5" t="s">
        <v>516</v>
      </c>
      <c r="W183" s="5" t="s">
        <v>531</v>
      </c>
      <c r="X183" s="5"/>
      <c r="Y183" s="5" t="s">
        <v>257</v>
      </c>
      <c r="Z183" s="5"/>
      <c r="AA183" s="5"/>
      <c r="AB183" s="5"/>
      <c r="AC183" s="5">
        <v>15</v>
      </c>
      <c r="AD183" s="5" t="s">
        <v>542</v>
      </c>
    </row>
    <row r="184" spans="1:30" s="6" customFormat="1" x14ac:dyDescent="0.2">
      <c r="A184" s="13">
        <v>182</v>
      </c>
      <c r="B184" s="5" t="s">
        <v>542</v>
      </c>
      <c r="C184" s="5"/>
      <c r="D184" s="22" t="s">
        <v>38</v>
      </c>
      <c r="E184" s="5" t="s">
        <v>122</v>
      </c>
      <c r="F184" s="5"/>
      <c r="G184" s="5"/>
      <c r="H184" s="5">
        <v>7</v>
      </c>
      <c r="I184" s="5"/>
      <c r="J184" s="5"/>
      <c r="K184" s="5"/>
      <c r="L184" s="5"/>
      <c r="M184" s="5"/>
      <c r="N184" s="5"/>
      <c r="O184" s="5"/>
      <c r="P184" s="5"/>
      <c r="Q184" s="5"/>
      <c r="R184" s="5" t="s">
        <v>368</v>
      </c>
      <c r="S184" s="48" t="s">
        <v>645</v>
      </c>
      <c r="T184" s="48"/>
      <c r="U184" s="22"/>
      <c r="V184" s="5" t="s">
        <v>516</v>
      </c>
      <c r="W184" s="5" t="s">
        <v>532</v>
      </c>
      <c r="X184" s="5"/>
      <c r="Y184" s="5" t="s">
        <v>254</v>
      </c>
      <c r="Z184" s="5"/>
      <c r="AA184" s="5"/>
      <c r="AB184" s="5" t="s">
        <v>41</v>
      </c>
      <c r="AC184" s="5">
        <v>15</v>
      </c>
      <c r="AD184" s="5" t="s">
        <v>542</v>
      </c>
    </row>
    <row r="185" spans="1:30" s="6" customFormat="1" x14ac:dyDescent="0.2">
      <c r="A185" s="13">
        <v>183</v>
      </c>
      <c r="B185" s="5" t="s">
        <v>542</v>
      </c>
      <c r="C185" s="5"/>
      <c r="D185" s="22" t="s">
        <v>38</v>
      </c>
      <c r="E185" s="5" t="s">
        <v>122</v>
      </c>
      <c r="F185" s="5"/>
      <c r="G185" s="5"/>
      <c r="H185" s="5" t="s">
        <v>296</v>
      </c>
      <c r="I185" s="5"/>
      <c r="J185" s="5"/>
      <c r="K185" s="5"/>
      <c r="L185" s="5"/>
      <c r="M185" s="5"/>
      <c r="N185" s="5"/>
      <c r="O185" s="5"/>
      <c r="P185" s="5"/>
      <c r="Q185" s="5"/>
      <c r="R185" s="5" t="s">
        <v>368</v>
      </c>
      <c r="S185" s="48" t="s">
        <v>645</v>
      </c>
      <c r="T185" s="48"/>
      <c r="U185" s="22"/>
      <c r="V185" s="5" t="s">
        <v>516</v>
      </c>
      <c r="W185" s="5" t="s">
        <v>533</v>
      </c>
      <c r="X185" s="5"/>
      <c r="Y185" s="5" t="s">
        <v>255</v>
      </c>
      <c r="Z185" s="5"/>
      <c r="AA185" s="5"/>
      <c r="AB185" s="5" t="s">
        <v>41</v>
      </c>
      <c r="AC185" s="5">
        <v>15</v>
      </c>
      <c r="AD185" s="5" t="s">
        <v>542</v>
      </c>
    </row>
    <row r="186" spans="1:30" s="6" customFormat="1" x14ac:dyDescent="0.2">
      <c r="A186" s="13">
        <v>184</v>
      </c>
      <c r="B186" s="5" t="s">
        <v>542</v>
      </c>
      <c r="C186" s="5"/>
      <c r="D186" s="22" t="s">
        <v>325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 t="s">
        <v>368</v>
      </c>
      <c r="S186" s="48"/>
      <c r="T186" s="48"/>
      <c r="U186" s="22"/>
      <c r="V186" s="5"/>
      <c r="W186" s="5"/>
      <c r="X186" s="5" t="s">
        <v>173</v>
      </c>
      <c r="Y186" s="5" t="s">
        <v>173</v>
      </c>
      <c r="Z186" s="5"/>
      <c r="AA186" s="5"/>
      <c r="AB186" s="5"/>
      <c r="AC186" s="5">
        <v>15</v>
      </c>
      <c r="AD186" s="5" t="s">
        <v>542</v>
      </c>
    </row>
    <row r="187" spans="1:30" s="6" customFormat="1" ht="16" x14ac:dyDescent="0.2">
      <c r="A187" s="13">
        <v>185</v>
      </c>
      <c r="B187" s="5" t="s">
        <v>549</v>
      </c>
      <c r="C187" s="5"/>
      <c r="D187" s="5"/>
      <c r="E187" s="8" t="s">
        <v>125</v>
      </c>
      <c r="F187" s="8" t="s">
        <v>241</v>
      </c>
      <c r="G187" s="5"/>
      <c r="H187" s="5"/>
      <c r="I187" s="5"/>
      <c r="J187" s="5"/>
      <c r="K187" s="5"/>
      <c r="L187" s="5"/>
      <c r="M187" s="5"/>
      <c r="N187" s="8">
        <v>6</v>
      </c>
      <c r="O187" s="5"/>
      <c r="P187" s="5"/>
      <c r="Q187" s="5"/>
      <c r="R187" s="5" t="s">
        <v>31</v>
      </c>
      <c r="S187" s="38" t="s">
        <v>145</v>
      </c>
      <c r="T187" s="48"/>
      <c r="U187" s="47"/>
      <c r="V187" s="5"/>
      <c r="W187" s="5"/>
      <c r="X187" s="5" t="s">
        <v>12</v>
      </c>
      <c r="Y187" s="5" t="s">
        <v>12</v>
      </c>
      <c r="Z187" s="5">
        <v>1</v>
      </c>
      <c r="AA187" s="5"/>
      <c r="AB187" s="5" t="s">
        <v>69</v>
      </c>
      <c r="AC187" s="5">
        <v>67</v>
      </c>
      <c r="AD187" s="5" t="s">
        <v>543</v>
      </c>
    </row>
    <row r="188" spans="1:30" s="6" customFormat="1" ht="16" x14ac:dyDescent="0.2">
      <c r="A188" s="13">
        <v>186</v>
      </c>
      <c r="B188" s="5" t="s">
        <v>549</v>
      </c>
      <c r="C188" s="5"/>
      <c r="D188" s="5"/>
      <c r="E188" s="8" t="s">
        <v>125</v>
      </c>
      <c r="F188" s="8" t="s">
        <v>243</v>
      </c>
      <c r="G188" s="5"/>
      <c r="H188" s="5"/>
      <c r="I188" s="5"/>
      <c r="J188" s="5"/>
      <c r="K188" s="5"/>
      <c r="L188" s="5"/>
      <c r="M188" s="5"/>
      <c r="N188" s="8">
        <v>6</v>
      </c>
      <c r="O188" s="5"/>
      <c r="P188" s="5"/>
      <c r="Q188" s="5"/>
      <c r="R188" s="5" t="s">
        <v>269</v>
      </c>
      <c r="S188" s="38" t="s">
        <v>145</v>
      </c>
      <c r="T188" s="48"/>
      <c r="U188" s="47"/>
      <c r="V188" s="5"/>
      <c r="W188" s="5"/>
      <c r="X188" s="5" t="s">
        <v>25</v>
      </c>
      <c r="Y188" s="5" t="s">
        <v>25</v>
      </c>
      <c r="Z188" s="5">
        <v>1</v>
      </c>
      <c r="AA188" s="5"/>
      <c r="AB188" s="5" t="s">
        <v>69</v>
      </c>
      <c r="AC188" s="5">
        <v>67</v>
      </c>
      <c r="AD188" s="5" t="s">
        <v>543</v>
      </c>
    </row>
    <row r="189" spans="1:30" s="6" customFormat="1" ht="16" x14ac:dyDescent="0.2">
      <c r="A189" s="13">
        <v>187</v>
      </c>
      <c r="B189" s="5" t="s">
        <v>549</v>
      </c>
      <c r="C189" s="5"/>
      <c r="D189" s="5"/>
      <c r="E189" s="8" t="s">
        <v>125</v>
      </c>
      <c r="F189" s="8" t="s">
        <v>244</v>
      </c>
      <c r="G189" s="5"/>
      <c r="H189" s="5"/>
      <c r="I189" s="5"/>
      <c r="J189" s="5"/>
      <c r="K189" s="5"/>
      <c r="L189" s="5"/>
      <c r="M189" s="5"/>
      <c r="N189" s="8">
        <v>6</v>
      </c>
      <c r="O189" s="5"/>
      <c r="P189" s="5"/>
      <c r="Q189" s="5"/>
      <c r="R189" s="5" t="s">
        <v>283</v>
      </c>
      <c r="S189" s="38" t="s">
        <v>145</v>
      </c>
      <c r="T189" s="48"/>
      <c r="U189" s="47"/>
      <c r="V189" s="5"/>
      <c r="W189" s="5"/>
      <c r="X189" s="5" t="s">
        <v>25</v>
      </c>
      <c r="Y189" s="5" t="s">
        <v>25</v>
      </c>
      <c r="Z189" s="5">
        <v>1</v>
      </c>
      <c r="AA189" s="5"/>
      <c r="AB189" s="5" t="s">
        <v>69</v>
      </c>
      <c r="AC189" s="5">
        <v>67</v>
      </c>
      <c r="AD189" s="5" t="s">
        <v>543</v>
      </c>
    </row>
    <row r="190" spans="1:30" s="6" customFormat="1" ht="16" x14ac:dyDescent="0.2">
      <c r="A190" s="13">
        <v>188</v>
      </c>
      <c r="B190" s="5" t="s">
        <v>549</v>
      </c>
      <c r="C190" s="5"/>
      <c r="D190" s="5"/>
      <c r="E190" s="8" t="s">
        <v>125</v>
      </c>
      <c r="F190" s="8" t="s">
        <v>70</v>
      </c>
      <c r="G190" s="5"/>
      <c r="H190" s="5"/>
      <c r="I190" s="5"/>
      <c r="J190" s="5"/>
      <c r="K190" s="5"/>
      <c r="L190" s="5"/>
      <c r="M190" s="5"/>
      <c r="N190" s="8">
        <v>6</v>
      </c>
      <c r="O190" s="5"/>
      <c r="P190" s="5"/>
      <c r="Q190" s="5"/>
      <c r="R190" s="5" t="s">
        <v>34</v>
      </c>
      <c r="S190" s="38" t="s">
        <v>145</v>
      </c>
      <c r="T190" s="48"/>
      <c r="U190" s="47"/>
      <c r="V190" s="5"/>
      <c r="W190" s="5"/>
      <c r="X190" s="5" t="s">
        <v>25</v>
      </c>
      <c r="Y190" s="5" t="s">
        <v>25</v>
      </c>
      <c r="Z190" s="5">
        <v>1</v>
      </c>
      <c r="AA190" s="5"/>
      <c r="AB190" s="5" t="s">
        <v>69</v>
      </c>
      <c r="AC190" s="5">
        <v>67</v>
      </c>
      <c r="AD190" s="5" t="s">
        <v>543</v>
      </c>
    </row>
    <row r="191" spans="1:30" s="6" customFormat="1" ht="16" x14ac:dyDescent="0.2">
      <c r="A191" s="13">
        <v>189</v>
      </c>
      <c r="B191" s="5" t="s">
        <v>549</v>
      </c>
      <c r="C191" s="5"/>
      <c r="D191" s="5"/>
      <c r="E191" s="8" t="s">
        <v>125</v>
      </c>
      <c r="F191" s="8" t="s">
        <v>71</v>
      </c>
      <c r="G191" s="5"/>
      <c r="H191" s="5"/>
      <c r="I191" s="5"/>
      <c r="J191" s="5"/>
      <c r="K191" s="5"/>
      <c r="L191" s="5"/>
      <c r="M191" s="5"/>
      <c r="N191" s="8">
        <v>6</v>
      </c>
      <c r="O191" s="5"/>
      <c r="P191" s="5"/>
      <c r="Q191" s="5"/>
      <c r="R191" s="5" t="s">
        <v>339</v>
      </c>
      <c r="S191" s="38" t="s">
        <v>145</v>
      </c>
      <c r="T191" s="48"/>
      <c r="U191" s="47"/>
      <c r="V191" s="5"/>
      <c r="W191" s="5"/>
      <c r="X191" s="5" t="s">
        <v>65</v>
      </c>
      <c r="Y191" s="5" t="s">
        <v>65</v>
      </c>
      <c r="Z191" s="5">
        <v>1</v>
      </c>
      <c r="AA191" s="5"/>
      <c r="AB191" s="5" t="s">
        <v>69</v>
      </c>
      <c r="AC191" s="5">
        <v>67</v>
      </c>
      <c r="AD191" s="5" t="s">
        <v>543</v>
      </c>
    </row>
    <row r="192" spans="1:30" s="6" customFormat="1" ht="16" x14ac:dyDescent="0.2">
      <c r="A192" s="13">
        <v>190</v>
      </c>
      <c r="B192" s="5" t="s">
        <v>549</v>
      </c>
      <c r="C192" s="5"/>
      <c r="D192" s="5"/>
      <c r="E192" s="8" t="s">
        <v>125</v>
      </c>
      <c r="F192" s="8" t="s">
        <v>245</v>
      </c>
      <c r="G192" s="5"/>
      <c r="H192" s="5"/>
      <c r="I192" s="5"/>
      <c r="J192" s="5"/>
      <c r="K192" s="5"/>
      <c r="L192" s="5"/>
      <c r="M192" s="5"/>
      <c r="N192" s="8">
        <v>6</v>
      </c>
      <c r="O192" s="5"/>
      <c r="P192" s="5"/>
      <c r="Q192" s="5"/>
      <c r="R192" s="5" t="s">
        <v>37</v>
      </c>
      <c r="S192" s="38" t="s">
        <v>145</v>
      </c>
      <c r="T192" s="48"/>
      <c r="U192" s="47"/>
      <c r="V192" s="5"/>
      <c r="W192" s="5"/>
      <c r="X192" s="5" t="s">
        <v>72</v>
      </c>
      <c r="Y192" s="5" t="s">
        <v>72</v>
      </c>
      <c r="Z192" s="5">
        <v>1</v>
      </c>
      <c r="AA192" s="5"/>
      <c r="AB192" s="5" t="s">
        <v>69</v>
      </c>
      <c r="AC192" s="5">
        <v>67</v>
      </c>
      <c r="AD192" s="5" t="s">
        <v>543</v>
      </c>
    </row>
    <row r="193" spans="1:30" s="6" customFormat="1" ht="16" x14ac:dyDescent="0.2">
      <c r="A193" s="13">
        <v>191</v>
      </c>
      <c r="B193" s="5" t="s">
        <v>549</v>
      </c>
      <c r="C193" s="5"/>
      <c r="D193" s="5"/>
      <c r="E193" s="8" t="s">
        <v>125</v>
      </c>
      <c r="F193" s="8" t="s">
        <v>73</v>
      </c>
      <c r="G193" s="5"/>
      <c r="H193" s="5"/>
      <c r="I193" s="5"/>
      <c r="J193" s="5"/>
      <c r="K193" s="5"/>
      <c r="L193" s="5"/>
      <c r="M193" s="5"/>
      <c r="N193" s="8">
        <v>6</v>
      </c>
      <c r="O193" s="5"/>
      <c r="P193" s="5"/>
      <c r="Q193" s="5"/>
      <c r="R193" s="5" t="s">
        <v>339</v>
      </c>
      <c r="S193" s="38" t="s">
        <v>145</v>
      </c>
      <c r="T193" s="48"/>
      <c r="U193" s="47"/>
      <c r="V193" s="5"/>
      <c r="W193" s="5"/>
      <c r="X193" s="5" t="s">
        <v>74</v>
      </c>
      <c r="Y193" s="5" t="s">
        <v>74</v>
      </c>
      <c r="Z193" s="5">
        <v>1</v>
      </c>
      <c r="AA193" s="5"/>
      <c r="AB193" s="5" t="s">
        <v>69</v>
      </c>
      <c r="AC193" s="5">
        <v>67</v>
      </c>
      <c r="AD193" s="5" t="s">
        <v>543</v>
      </c>
    </row>
    <row r="194" spans="1:30" s="6" customFormat="1" ht="16" x14ac:dyDescent="0.2">
      <c r="A194" s="13">
        <v>192</v>
      </c>
      <c r="B194" s="5" t="s">
        <v>549</v>
      </c>
      <c r="C194" s="5"/>
      <c r="D194" s="5"/>
      <c r="E194" s="8" t="s">
        <v>125</v>
      </c>
      <c r="F194" s="8" t="s">
        <v>246</v>
      </c>
      <c r="G194" s="5"/>
      <c r="H194" s="5"/>
      <c r="I194" s="5"/>
      <c r="J194" s="5"/>
      <c r="K194" s="5"/>
      <c r="L194" s="5"/>
      <c r="M194" s="5"/>
      <c r="N194" s="8">
        <v>6</v>
      </c>
      <c r="O194" s="5"/>
      <c r="P194" s="5"/>
      <c r="Q194" s="5"/>
      <c r="R194" s="5" t="s">
        <v>37</v>
      </c>
      <c r="S194" s="38" t="s">
        <v>145</v>
      </c>
      <c r="T194" s="48"/>
      <c r="U194" s="47"/>
      <c r="V194" s="5"/>
      <c r="W194" s="5"/>
      <c r="X194" s="5" t="s">
        <v>74</v>
      </c>
      <c r="Y194" s="5" t="s">
        <v>74</v>
      </c>
      <c r="Z194" s="5">
        <v>1</v>
      </c>
      <c r="AA194" s="5"/>
      <c r="AB194" s="5" t="s">
        <v>69</v>
      </c>
      <c r="AC194" s="5">
        <v>67</v>
      </c>
      <c r="AD194" s="5" t="s">
        <v>543</v>
      </c>
    </row>
    <row r="195" spans="1:30" s="6" customFormat="1" ht="16" x14ac:dyDescent="0.2">
      <c r="A195" s="13">
        <v>193</v>
      </c>
      <c r="B195" s="5" t="s">
        <v>549</v>
      </c>
      <c r="C195" s="5"/>
      <c r="D195" s="5"/>
      <c r="E195" s="8" t="s">
        <v>125</v>
      </c>
      <c r="F195" s="8"/>
      <c r="G195" s="5" t="s">
        <v>17</v>
      </c>
      <c r="H195" s="5" t="s">
        <v>77</v>
      </c>
      <c r="I195" s="5" t="s">
        <v>17</v>
      </c>
      <c r="J195" s="5" t="s">
        <v>63</v>
      </c>
      <c r="K195" s="5"/>
      <c r="L195" s="5"/>
      <c r="M195" s="5"/>
      <c r="N195" s="8">
        <v>6</v>
      </c>
      <c r="O195" s="5"/>
      <c r="P195" s="5"/>
      <c r="Q195" s="5"/>
      <c r="R195" s="5"/>
      <c r="S195" s="49"/>
      <c r="T195" s="38"/>
      <c r="U195" s="47"/>
      <c r="V195" s="5"/>
      <c r="W195" s="5"/>
      <c r="X195" s="5" t="s">
        <v>89</v>
      </c>
      <c r="Y195" s="5" t="s">
        <v>89</v>
      </c>
      <c r="Z195" s="5">
        <v>1</v>
      </c>
      <c r="AA195" s="5"/>
      <c r="AB195" s="5"/>
      <c r="AC195" s="5">
        <v>67</v>
      </c>
      <c r="AD195" s="5" t="s">
        <v>543</v>
      </c>
    </row>
    <row r="196" spans="1:30" s="6" customFormat="1" x14ac:dyDescent="0.2">
      <c r="A196" s="13">
        <v>194</v>
      </c>
      <c r="B196" s="5" t="s">
        <v>549</v>
      </c>
      <c r="C196" s="5"/>
      <c r="D196" s="5"/>
      <c r="E196" s="8"/>
      <c r="F196" s="8"/>
      <c r="G196" s="5" t="s">
        <v>17</v>
      </c>
      <c r="H196" s="5" t="s">
        <v>43</v>
      </c>
      <c r="I196" s="5"/>
      <c r="J196" s="5"/>
      <c r="K196" s="5"/>
      <c r="L196" s="5"/>
      <c r="M196" s="5"/>
      <c r="N196" s="8"/>
      <c r="O196" s="5"/>
      <c r="P196" s="5"/>
      <c r="Q196" s="5"/>
      <c r="R196" s="5" t="s">
        <v>256</v>
      </c>
      <c r="S196" s="49"/>
      <c r="T196" s="48" t="s">
        <v>639</v>
      </c>
      <c r="U196" s="47">
        <v>10</v>
      </c>
      <c r="V196" s="5" t="s">
        <v>526</v>
      </c>
      <c r="W196" s="5">
        <v>3</v>
      </c>
      <c r="X196" s="5"/>
      <c r="Y196" s="5" t="s">
        <v>254</v>
      </c>
      <c r="Z196" s="5">
        <v>1</v>
      </c>
      <c r="AA196" s="5"/>
      <c r="AB196" s="5"/>
      <c r="AC196" s="5">
        <v>67</v>
      </c>
      <c r="AD196" s="5" t="s">
        <v>543</v>
      </c>
    </row>
    <row r="197" spans="1:30" s="6" customFormat="1" x14ac:dyDescent="0.2">
      <c r="A197" s="13">
        <v>195</v>
      </c>
      <c r="B197" s="5" t="s">
        <v>549</v>
      </c>
      <c r="C197" s="5"/>
      <c r="D197" s="5"/>
      <c r="E197" s="8"/>
      <c r="F197" s="8"/>
      <c r="G197" s="5" t="s">
        <v>17</v>
      </c>
      <c r="H197" s="5" t="s">
        <v>43</v>
      </c>
      <c r="I197" s="5"/>
      <c r="J197" s="5"/>
      <c r="K197" s="5"/>
      <c r="L197" s="5"/>
      <c r="M197" s="5"/>
      <c r="N197" s="8"/>
      <c r="O197" s="5"/>
      <c r="P197" s="5">
        <v>1</v>
      </c>
      <c r="Q197" s="5"/>
      <c r="R197" s="5" t="s">
        <v>256</v>
      </c>
      <c r="S197" s="49"/>
      <c r="T197" s="48" t="s">
        <v>639</v>
      </c>
      <c r="U197" s="47">
        <v>10</v>
      </c>
      <c r="V197" s="5"/>
      <c r="W197" s="5"/>
      <c r="X197" s="5" t="s">
        <v>44</v>
      </c>
      <c r="Y197" s="5" t="s">
        <v>44</v>
      </c>
      <c r="Z197" s="5">
        <v>1</v>
      </c>
      <c r="AA197" s="5"/>
      <c r="AB197" s="5"/>
      <c r="AC197" s="5">
        <v>67</v>
      </c>
      <c r="AD197" s="5" t="s">
        <v>543</v>
      </c>
    </row>
    <row r="198" spans="1:30" s="6" customFormat="1" x14ac:dyDescent="0.2">
      <c r="A198" s="13">
        <v>196</v>
      </c>
      <c r="B198" s="5" t="s">
        <v>549</v>
      </c>
      <c r="C198" s="5"/>
      <c r="D198" s="5" t="s">
        <v>75</v>
      </c>
      <c r="E198" s="5"/>
      <c r="F198" s="5"/>
      <c r="G198" s="5"/>
      <c r="H198" s="5" t="s">
        <v>63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48"/>
      <c r="T198" s="48"/>
      <c r="U198" s="22"/>
      <c r="V198" s="5" t="s">
        <v>516</v>
      </c>
      <c r="W198" s="5" t="s">
        <v>530</v>
      </c>
      <c r="X198" s="5"/>
      <c r="Y198" s="5" t="s">
        <v>256</v>
      </c>
      <c r="Z198" s="5"/>
      <c r="AA198" s="5"/>
      <c r="AB198" s="5"/>
      <c r="AC198" s="5">
        <v>66</v>
      </c>
      <c r="AD198" s="5" t="s">
        <v>543</v>
      </c>
    </row>
    <row r="199" spans="1:30" s="6" customFormat="1" x14ac:dyDescent="0.2">
      <c r="A199" s="13">
        <v>197</v>
      </c>
      <c r="B199" s="5" t="s">
        <v>549</v>
      </c>
      <c r="C199" s="5"/>
      <c r="D199" s="5" t="s">
        <v>76</v>
      </c>
      <c r="E199" s="5"/>
      <c r="F199" s="5"/>
      <c r="G199" s="5"/>
      <c r="H199" s="5" t="s">
        <v>77</v>
      </c>
      <c r="I199" s="5"/>
      <c r="J199" s="5"/>
      <c r="K199" s="5"/>
      <c r="L199" s="5"/>
      <c r="M199" s="5"/>
      <c r="N199" s="5"/>
      <c r="O199" s="5"/>
      <c r="P199" s="5"/>
      <c r="Q199" s="5"/>
      <c r="R199" s="5" t="s">
        <v>256</v>
      </c>
      <c r="S199" s="48" t="s">
        <v>645</v>
      </c>
      <c r="T199" s="48" t="s">
        <v>642</v>
      </c>
      <c r="U199" s="22" t="s">
        <v>652</v>
      </c>
      <c r="V199" s="5" t="s">
        <v>516</v>
      </c>
      <c r="W199" s="5" t="s">
        <v>531</v>
      </c>
      <c r="X199" s="5"/>
      <c r="Y199" s="5" t="s">
        <v>257</v>
      </c>
      <c r="Z199" s="5"/>
      <c r="AA199" s="5"/>
      <c r="AB199" s="5"/>
      <c r="AC199" s="5">
        <v>66</v>
      </c>
      <c r="AD199" s="5" t="s">
        <v>543</v>
      </c>
    </row>
    <row r="200" spans="1:30" s="6" customFormat="1" x14ac:dyDescent="0.2">
      <c r="A200" s="13">
        <v>198</v>
      </c>
      <c r="B200" s="5" t="s">
        <v>549</v>
      </c>
      <c r="C200" s="5"/>
      <c r="D200" s="5" t="s">
        <v>76</v>
      </c>
      <c r="E200" s="5"/>
      <c r="F200" s="5"/>
      <c r="G200" s="5" t="s">
        <v>78</v>
      </c>
      <c r="H200" s="5" t="s">
        <v>77</v>
      </c>
      <c r="I200" s="5"/>
      <c r="J200" s="5"/>
      <c r="K200" s="5"/>
      <c r="L200" s="5"/>
      <c r="M200" s="5"/>
      <c r="N200" s="5"/>
      <c r="O200" s="5"/>
      <c r="P200" s="5"/>
      <c r="Q200" s="5"/>
      <c r="R200" s="5" t="s">
        <v>269</v>
      </c>
      <c r="S200" s="48"/>
      <c r="T200" s="48"/>
      <c r="U200" s="22"/>
      <c r="V200" s="5"/>
      <c r="W200" s="5"/>
      <c r="X200" s="5" t="s">
        <v>19</v>
      </c>
      <c r="Y200" s="5" t="s">
        <v>19</v>
      </c>
      <c r="Z200" s="5"/>
      <c r="AA200" s="5"/>
      <c r="AB200" s="5"/>
      <c r="AC200" s="5">
        <v>66</v>
      </c>
      <c r="AD200" s="5" t="s">
        <v>543</v>
      </c>
    </row>
    <row r="201" spans="1:30" s="6" customFormat="1" x14ac:dyDescent="0.2">
      <c r="A201" s="13">
        <v>199</v>
      </c>
      <c r="B201" s="5" t="s">
        <v>549</v>
      </c>
      <c r="C201" s="5"/>
      <c r="D201" s="5" t="s">
        <v>79</v>
      </c>
      <c r="E201" s="5"/>
      <c r="F201" s="5"/>
      <c r="G201" s="5" t="s">
        <v>242</v>
      </c>
      <c r="H201" s="5" t="s">
        <v>63</v>
      </c>
      <c r="I201" s="5"/>
      <c r="J201" s="5"/>
      <c r="K201" s="5"/>
      <c r="L201" s="5"/>
      <c r="M201" s="5"/>
      <c r="N201" s="8"/>
      <c r="O201" s="5"/>
      <c r="P201" s="5"/>
      <c r="Q201" s="5"/>
      <c r="R201" s="5" t="s">
        <v>37</v>
      </c>
      <c r="S201" s="48"/>
      <c r="T201" s="48" t="s">
        <v>639</v>
      </c>
      <c r="U201" s="22" t="s">
        <v>131</v>
      </c>
      <c r="V201" s="5"/>
      <c r="W201" s="5"/>
      <c r="X201" s="5" t="s">
        <v>65</v>
      </c>
      <c r="Y201" s="5" t="s">
        <v>65</v>
      </c>
      <c r="Z201" s="5"/>
      <c r="AA201" s="5"/>
      <c r="AB201" s="5"/>
      <c r="AC201" s="5">
        <v>66</v>
      </c>
      <c r="AD201" s="5" t="s">
        <v>543</v>
      </c>
    </row>
    <row r="202" spans="1:30" s="6" customFormat="1" x14ac:dyDescent="0.2">
      <c r="A202" s="13">
        <v>200</v>
      </c>
      <c r="B202" s="5" t="s">
        <v>549</v>
      </c>
      <c r="C202" s="5"/>
      <c r="D202" s="5" t="s">
        <v>38</v>
      </c>
      <c r="E202" s="5"/>
      <c r="F202" s="5"/>
      <c r="G202" s="5" t="s">
        <v>16</v>
      </c>
      <c r="H202" s="5">
        <v>6</v>
      </c>
      <c r="I202" s="5"/>
      <c r="J202" s="5"/>
      <c r="K202" s="5"/>
      <c r="L202" s="5"/>
      <c r="M202" s="5"/>
      <c r="N202" s="8"/>
      <c r="O202" s="5"/>
      <c r="P202" s="5"/>
      <c r="Q202" s="5"/>
      <c r="R202" s="5" t="s">
        <v>31</v>
      </c>
      <c r="S202" s="48"/>
      <c r="T202" s="48"/>
      <c r="U202" s="22"/>
      <c r="V202" s="5" t="s">
        <v>516</v>
      </c>
      <c r="W202" s="5" t="s">
        <v>531</v>
      </c>
      <c r="X202" s="5"/>
      <c r="Y202" s="5" t="s">
        <v>40</v>
      </c>
      <c r="Z202" s="5"/>
      <c r="AA202" s="5"/>
      <c r="AB202" s="5" t="s">
        <v>41</v>
      </c>
      <c r="AC202" s="5">
        <v>66</v>
      </c>
      <c r="AD202" s="5" t="s">
        <v>543</v>
      </c>
    </row>
    <row r="203" spans="1:30" s="6" customFormat="1" x14ac:dyDescent="0.2">
      <c r="A203" s="13">
        <v>201</v>
      </c>
      <c r="B203" s="5" t="s">
        <v>549</v>
      </c>
      <c r="C203" s="5"/>
      <c r="D203" s="5" t="s">
        <v>38</v>
      </c>
      <c r="E203" s="5"/>
      <c r="F203" s="5"/>
      <c r="G203" s="5" t="s">
        <v>36</v>
      </c>
      <c r="H203" s="5">
        <v>6</v>
      </c>
      <c r="I203" s="5"/>
      <c r="J203" s="5"/>
      <c r="K203" s="5"/>
      <c r="L203" s="5"/>
      <c r="M203" s="5"/>
      <c r="N203" s="8"/>
      <c r="O203" s="5"/>
      <c r="P203" s="5"/>
      <c r="Q203" s="5"/>
      <c r="R203" s="5" t="s">
        <v>339</v>
      </c>
      <c r="S203" s="48"/>
      <c r="T203" s="48"/>
      <c r="U203" s="22"/>
      <c r="V203" s="5"/>
      <c r="W203" s="5"/>
      <c r="X203" s="5" t="s">
        <v>72</v>
      </c>
      <c r="Y203" s="5" t="s">
        <v>72</v>
      </c>
      <c r="Z203" s="5"/>
      <c r="AA203" s="5"/>
      <c r="AB203" s="5" t="s">
        <v>41</v>
      </c>
      <c r="AC203" s="5">
        <v>66</v>
      </c>
      <c r="AD203" s="5" t="s">
        <v>543</v>
      </c>
    </row>
    <row r="204" spans="1:30" s="6" customFormat="1" x14ac:dyDescent="0.2">
      <c r="A204" s="13">
        <v>202</v>
      </c>
      <c r="B204" s="5" t="s">
        <v>549</v>
      </c>
      <c r="C204" s="5"/>
      <c r="D204" s="5" t="s">
        <v>38</v>
      </c>
      <c r="E204" s="5"/>
      <c r="F204" s="5"/>
      <c r="G204" s="5"/>
      <c r="H204" s="5">
        <v>7</v>
      </c>
      <c r="I204" s="5"/>
      <c r="J204" s="5"/>
      <c r="K204" s="5"/>
      <c r="L204" s="5"/>
      <c r="M204" s="5"/>
      <c r="N204" s="8"/>
      <c r="O204" s="5"/>
      <c r="P204" s="5"/>
      <c r="Q204" s="5"/>
      <c r="R204" s="5"/>
      <c r="S204" s="48"/>
      <c r="T204" s="48"/>
      <c r="U204" s="22"/>
      <c r="V204" s="5" t="s">
        <v>516</v>
      </c>
      <c r="W204" s="5" t="s">
        <v>532</v>
      </c>
      <c r="X204" s="5"/>
      <c r="Y204" s="5" t="s">
        <v>254</v>
      </c>
      <c r="Z204" s="5"/>
      <c r="AA204" s="5"/>
      <c r="AB204" s="5" t="s">
        <v>41</v>
      </c>
      <c r="AC204" s="5">
        <v>66</v>
      </c>
      <c r="AD204" s="5" t="s">
        <v>543</v>
      </c>
    </row>
    <row r="205" spans="1:30" s="6" customFormat="1" x14ac:dyDescent="0.2">
      <c r="A205" s="13">
        <v>203</v>
      </c>
      <c r="B205" s="5" t="s">
        <v>549</v>
      </c>
      <c r="C205" s="5"/>
      <c r="D205" s="5" t="s">
        <v>38</v>
      </c>
      <c r="E205" s="5"/>
      <c r="F205" s="5"/>
      <c r="G205" s="5"/>
      <c r="H205" s="5">
        <v>8</v>
      </c>
      <c r="I205" s="5"/>
      <c r="J205" s="5"/>
      <c r="K205" s="5"/>
      <c r="L205" s="5"/>
      <c r="M205" s="5"/>
      <c r="N205" s="8"/>
      <c r="O205" s="5"/>
      <c r="P205" s="5"/>
      <c r="Q205" s="5"/>
      <c r="R205" s="5"/>
      <c r="S205" s="48"/>
      <c r="T205" s="48"/>
      <c r="U205" s="22"/>
      <c r="V205" s="5" t="s">
        <v>516</v>
      </c>
      <c r="W205" s="5" t="s">
        <v>533</v>
      </c>
      <c r="X205" s="5"/>
      <c r="Y205" s="5" t="s">
        <v>255</v>
      </c>
      <c r="Z205" s="5"/>
      <c r="AA205" s="5"/>
      <c r="AB205" s="5" t="s">
        <v>41</v>
      </c>
      <c r="AC205" s="5">
        <v>66</v>
      </c>
      <c r="AD205" s="5" t="s">
        <v>543</v>
      </c>
    </row>
    <row r="206" spans="1:30" s="6" customFormat="1" x14ac:dyDescent="0.2">
      <c r="A206" s="13">
        <v>204</v>
      </c>
      <c r="B206" s="5" t="s">
        <v>549</v>
      </c>
      <c r="C206" s="5"/>
      <c r="D206" s="5" t="s">
        <v>418</v>
      </c>
      <c r="E206" s="5" t="s">
        <v>124</v>
      </c>
      <c r="F206" s="5"/>
      <c r="G206" s="5"/>
      <c r="H206" s="5"/>
      <c r="I206" s="5"/>
      <c r="J206" s="5"/>
      <c r="K206" s="5"/>
      <c r="L206" s="5"/>
      <c r="M206" s="5"/>
      <c r="N206" s="8"/>
      <c r="O206" s="5"/>
      <c r="P206" s="5">
        <v>1</v>
      </c>
      <c r="Q206" s="5"/>
      <c r="R206" s="5"/>
      <c r="S206" s="48"/>
      <c r="T206" s="48" t="s">
        <v>633</v>
      </c>
      <c r="U206" s="22" t="s">
        <v>635</v>
      </c>
      <c r="V206" s="5"/>
      <c r="W206" s="5"/>
      <c r="X206" s="5" t="s">
        <v>27</v>
      </c>
      <c r="Y206" s="5" t="s">
        <v>27</v>
      </c>
      <c r="Z206" s="5"/>
      <c r="AA206" s="5"/>
      <c r="AB206" s="5"/>
      <c r="AC206" s="5">
        <v>66</v>
      </c>
      <c r="AD206" s="5" t="s">
        <v>543</v>
      </c>
    </row>
    <row r="207" spans="1:30" s="6" customFormat="1" x14ac:dyDescent="0.2">
      <c r="A207" s="13">
        <v>205</v>
      </c>
      <c r="B207" s="5" t="s">
        <v>549</v>
      </c>
      <c r="C207" s="5"/>
      <c r="D207" s="5" t="s">
        <v>419</v>
      </c>
      <c r="E207" s="5"/>
      <c r="F207" s="5"/>
      <c r="G207" s="5"/>
      <c r="H207" s="5"/>
      <c r="I207" s="5"/>
      <c r="J207" s="5"/>
      <c r="K207" s="5"/>
      <c r="L207" s="5"/>
      <c r="M207" s="5"/>
      <c r="N207" s="8"/>
      <c r="O207" s="5"/>
      <c r="P207" s="5"/>
      <c r="Q207" s="5"/>
      <c r="R207" s="5" t="s">
        <v>256</v>
      </c>
      <c r="S207" s="48" t="s">
        <v>636</v>
      </c>
      <c r="T207" s="48"/>
      <c r="U207" s="22"/>
      <c r="V207" s="5"/>
      <c r="W207" s="5"/>
      <c r="X207" s="5" t="s">
        <v>173</v>
      </c>
      <c r="Y207" s="5" t="s">
        <v>173</v>
      </c>
      <c r="Z207" s="5">
        <v>1</v>
      </c>
      <c r="AA207" s="5"/>
      <c r="AB207" s="5" t="s">
        <v>420</v>
      </c>
      <c r="AC207" s="5">
        <v>67</v>
      </c>
      <c r="AD207" s="5" t="s">
        <v>543</v>
      </c>
    </row>
    <row r="208" spans="1:30" s="6" customFormat="1" x14ac:dyDescent="0.2">
      <c r="A208" s="13">
        <v>206</v>
      </c>
      <c r="B208" s="5" t="s">
        <v>549</v>
      </c>
      <c r="C208" s="5"/>
      <c r="D208" s="5" t="s">
        <v>421</v>
      </c>
      <c r="E208" s="5"/>
      <c r="F208" s="5"/>
      <c r="G208" s="5"/>
      <c r="H208" s="5"/>
      <c r="I208" s="5"/>
      <c r="J208" s="5"/>
      <c r="K208" s="5"/>
      <c r="L208" s="5"/>
      <c r="M208" s="5"/>
      <c r="N208" s="8"/>
      <c r="O208" s="5"/>
      <c r="P208" s="5"/>
      <c r="Q208" s="5"/>
      <c r="R208" s="5" t="s">
        <v>256</v>
      </c>
      <c r="S208" s="48"/>
      <c r="T208" s="48"/>
      <c r="U208" s="22"/>
      <c r="V208" s="5"/>
      <c r="W208" s="5"/>
      <c r="X208" s="5" t="s">
        <v>173</v>
      </c>
      <c r="Y208" s="5" t="s">
        <v>173</v>
      </c>
      <c r="Z208" s="5"/>
      <c r="AA208" s="5"/>
      <c r="AB208" s="5" t="s">
        <v>453</v>
      </c>
      <c r="AC208" s="5">
        <v>67</v>
      </c>
      <c r="AD208" s="5" t="s">
        <v>543</v>
      </c>
    </row>
    <row r="209" spans="1:30" s="6" customFormat="1" x14ac:dyDescent="0.2">
      <c r="A209" s="13">
        <v>207</v>
      </c>
      <c r="B209" s="5" t="s">
        <v>550</v>
      </c>
      <c r="C209" s="5"/>
      <c r="D209" s="5" t="s">
        <v>75</v>
      </c>
      <c r="E209" s="5"/>
      <c r="F209" s="5"/>
      <c r="G209" s="5"/>
      <c r="H209" s="5" t="s">
        <v>63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48"/>
      <c r="T209" s="48"/>
      <c r="U209" s="22"/>
      <c r="V209" s="5" t="s">
        <v>516</v>
      </c>
      <c r="W209" s="5" t="s">
        <v>530</v>
      </c>
      <c r="X209" s="5"/>
      <c r="Y209" s="5" t="s">
        <v>256</v>
      </c>
      <c r="Z209" s="5"/>
      <c r="AA209" s="5"/>
      <c r="AB209" s="5"/>
      <c r="AC209" s="5">
        <v>68</v>
      </c>
      <c r="AD209" s="5" t="s">
        <v>422</v>
      </c>
    </row>
    <row r="210" spans="1:30" s="6" customFormat="1" x14ac:dyDescent="0.2">
      <c r="A210" s="13">
        <v>208</v>
      </c>
      <c r="B210" s="5" t="s">
        <v>550</v>
      </c>
      <c r="C210" s="5"/>
      <c r="D210" s="5" t="s">
        <v>76</v>
      </c>
      <c r="E210" s="5"/>
      <c r="F210" s="5"/>
      <c r="G210" s="5"/>
      <c r="H210" s="5" t="s">
        <v>77</v>
      </c>
      <c r="I210" s="5"/>
      <c r="J210" s="5"/>
      <c r="K210" s="5"/>
      <c r="L210" s="5"/>
      <c r="M210" s="5"/>
      <c r="N210" s="5"/>
      <c r="O210" s="5"/>
      <c r="P210" s="5"/>
      <c r="Q210" s="5"/>
      <c r="R210" s="5" t="s">
        <v>256</v>
      </c>
      <c r="S210" s="48" t="s">
        <v>645</v>
      </c>
      <c r="T210" s="48" t="s">
        <v>642</v>
      </c>
      <c r="U210" s="22" t="s">
        <v>652</v>
      </c>
      <c r="V210" s="5" t="s">
        <v>516</v>
      </c>
      <c r="W210" s="5" t="s">
        <v>531</v>
      </c>
      <c r="X210" s="5"/>
      <c r="Y210" s="5" t="s">
        <v>257</v>
      </c>
      <c r="Z210" s="5"/>
      <c r="AA210" s="5"/>
      <c r="AB210" s="5"/>
      <c r="AC210" s="5">
        <v>68</v>
      </c>
      <c r="AD210" s="5" t="s">
        <v>422</v>
      </c>
    </row>
    <row r="211" spans="1:30" s="6" customFormat="1" x14ac:dyDescent="0.2">
      <c r="A211" s="13">
        <v>209</v>
      </c>
      <c r="B211" s="5" t="s">
        <v>550</v>
      </c>
      <c r="C211" s="5"/>
      <c r="D211" s="5" t="s">
        <v>76</v>
      </c>
      <c r="E211" s="5"/>
      <c r="F211" s="5"/>
      <c r="G211" s="5" t="s">
        <v>78</v>
      </c>
      <c r="H211" s="5" t="s">
        <v>77</v>
      </c>
      <c r="I211" s="5"/>
      <c r="J211" s="5"/>
      <c r="K211" s="5"/>
      <c r="L211" s="5"/>
      <c r="M211" s="5"/>
      <c r="N211" s="5"/>
      <c r="O211" s="5"/>
      <c r="P211" s="5"/>
      <c r="Q211" s="5"/>
      <c r="R211" s="5" t="s">
        <v>269</v>
      </c>
      <c r="S211" s="48"/>
      <c r="T211" s="48"/>
      <c r="U211" s="22"/>
      <c r="V211" s="5"/>
      <c r="W211" s="5"/>
      <c r="X211" s="5" t="s">
        <v>19</v>
      </c>
      <c r="Y211" s="5" t="s">
        <v>19</v>
      </c>
      <c r="Z211" s="5"/>
      <c r="AA211" s="5"/>
      <c r="AB211" s="5"/>
      <c r="AC211" s="5">
        <v>68</v>
      </c>
      <c r="AD211" s="5" t="s">
        <v>422</v>
      </c>
    </row>
    <row r="212" spans="1:30" s="6" customFormat="1" x14ac:dyDescent="0.2">
      <c r="A212" s="13">
        <v>210</v>
      </c>
      <c r="B212" s="5" t="s">
        <v>550</v>
      </c>
      <c r="C212" s="5"/>
      <c r="D212" s="5" t="s">
        <v>79</v>
      </c>
      <c r="E212" s="5"/>
      <c r="F212" s="5"/>
      <c r="G212" s="5" t="s">
        <v>242</v>
      </c>
      <c r="H212" s="5" t="s">
        <v>63</v>
      </c>
      <c r="I212" s="5"/>
      <c r="J212" s="5"/>
      <c r="K212" s="5"/>
      <c r="L212" s="5"/>
      <c r="M212" s="5"/>
      <c r="N212" s="8"/>
      <c r="O212" s="5"/>
      <c r="P212" s="5"/>
      <c r="Q212" s="5"/>
      <c r="R212" s="5" t="s">
        <v>37</v>
      </c>
      <c r="S212" s="48"/>
      <c r="T212" s="48" t="s">
        <v>639</v>
      </c>
      <c r="U212" s="22" t="s">
        <v>131</v>
      </c>
      <c r="V212" s="5"/>
      <c r="W212" s="5"/>
      <c r="X212" s="5" t="s">
        <v>65</v>
      </c>
      <c r="Y212" s="5" t="s">
        <v>65</v>
      </c>
      <c r="Z212" s="5"/>
      <c r="AA212" s="5"/>
      <c r="AB212" s="5"/>
      <c r="AC212" s="5">
        <v>68</v>
      </c>
      <c r="AD212" s="5" t="s">
        <v>422</v>
      </c>
    </row>
    <row r="213" spans="1:30" s="6" customFormat="1" x14ac:dyDescent="0.2">
      <c r="A213" s="13">
        <v>211</v>
      </c>
      <c r="B213" s="5" t="s">
        <v>550</v>
      </c>
      <c r="C213" s="5"/>
      <c r="D213" s="5" t="s">
        <v>38</v>
      </c>
      <c r="E213" s="5"/>
      <c r="F213" s="5"/>
      <c r="G213" s="5" t="s">
        <v>16</v>
      </c>
      <c r="H213" s="5">
        <v>6</v>
      </c>
      <c r="I213" s="5"/>
      <c r="J213" s="5"/>
      <c r="K213" s="5"/>
      <c r="L213" s="5"/>
      <c r="M213" s="5"/>
      <c r="N213" s="8"/>
      <c r="O213" s="5"/>
      <c r="P213" s="5"/>
      <c r="Q213" s="5"/>
      <c r="R213" s="5" t="s">
        <v>31</v>
      </c>
      <c r="S213" s="48"/>
      <c r="T213" s="48"/>
      <c r="U213" s="22"/>
      <c r="V213" s="5" t="s">
        <v>516</v>
      </c>
      <c r="W213" s="5" t="s">
        <v>531</v>
      </c>
      <c r="X213" s="5"/>
      <c r="Y213" s="5" t="s">
        <v>40</v>
      </c>
      <c r="Z213" s="5"/>
      <c r="AA213" s="5"/>
      <c r="AB213" s="5" t="s">
        <v>41</v>
      </c>
      <c r="AC213" s="5">
        <v>68</v>
      </c>
      <c r="AD213" s="5" t="s">
        <v>422</v>
      </c>
    </row>
    <row r="214" spans="1:30" s="6" customFormat="1" x14ac:dyDescent="0.2">
      <c r="A214" s="13">
        <v>212</v>
      </c>
      <c r="B214" s="5" t="s">
        <v>550</v>
      </c>
      <c r="C214" s="5"/>
      <c r="D214" s="5" t="s">
        <v>38</v>
      </c>
      <c r="E214" s="5"/>
      <c r="F214" s="5"/>
      <c r="G214" s="5" t="s">
        <v>36</v>
      </c>
      <c r="H214" s="5">
        <v>6</v>
      </c>
      <c r="I214" s="5"/>
      <c r="J214" s="5"/>
      <c r="K214" s="5"/>
      <c r="L214" s="5"/>
      <c r="M214" s="5"/>
      <c r="N214" s="8"/>
      <c r="O214" s="5"/>
      <c r="P214" s="5"/>
      <c r="Q214" s="5"/>
      <c r="R214" s="5" t="s">
        <v>339</v>
      </c>
      <c r="S214" s="48"/>
      <c r="T214" s="48"/>
      <c r="U214" s="22"/>
      <c r="V214" s="5"/>
      <c r="W214" s="5"/>
      <c r="X214" s="5" t="s">
        <v>72</v>
      </c>
      <c r="Y214" s="5" t="s">
        <v>72</v>
      </c>
      <c r="Z214" s="5"/>
      <c r="AA214" s="5"/>
      <c r="AB214" s="5" t="s">
        <v>41</v>
      </c>
      <c r="AC214" s="5">
        <v>68</v>
      </c>
      <c r="AD214" s="5" t="s">
        <v>422</v>
      </c>
    </row>
    <row r="215" spans="1:30" s="6" customFormat="1" x14ac:dyDescent="0.2">
      <c r="A215" s="13">
        <v>213</v>
      </c>
      <c r="B215" s="5" t="s">
        <v>550</v>
      </c>
      <c r="C215" s="5"/>
      <c r="D215" s="5" t="s">
        <v>38</v>
      </c>
      <c r="E215" s="5"/>
      <c r="F215" s="5"/>
      <c r="G215" s="5"/>
      <c r="H215" s="5">
        <v>7</v>
      </c>
      <c r="I215" s="5"/>
      <c r="J215" s="5"/>
      <c r="K215" s="5"/>
      <c r="L215" s="5"/>
      <c r="M215" s="5"/>
      <c r="N215" s="8"/>
      <c r="O215" s="5"/>
      <c r="P215" s="5"/>
      <c r="Q215" s="5"/>
      <c r="R215" s="5"/>
      <c r="S215" s="48"/>
      <c r="T215" s="48"/>
      <c r="U215" s="22"/>
      <c r="V215" s="5" t="s">
        <v>516</v>
      </c>
      <c r="W215" s="5" t="s">
        <v>532</v>
      </c>
      <c r="X215" s="5"/>
      <c r="Y215" s="5" t="s">
        <v>254</v>
      </c>
      <c r="Z215" s="5"/>
      <c r="AA215" s="5"/>
      <c r="AB215" s="5" t="s">
        <v>41</v>
      </c>
      <c r="AC215" s="5">
        <v>68</v>
      </c>
      <c r="AD215" s="5" t="s">
        <v>422</v>
      </c>
    </row>
    <row r="216" spans="1:30" s="6" customFormat="1" x14ac:dyDescent="0.2">
      <c r="A216" s="13">
        <v>214</v>
      </c>
      <c r="B216" s="5" t="s">
        <v>550</v>
      </c>
      <c r="C216" s="5"/>
      <c r="D216" s="5" t="s">
        <v>38</v>
      </c>
      <c r="E216" s="5"/>
      <c r="F216" s="5"/>
      <c r="G216" s="5"/>
      <c r="H216" s="5">
        <v>8</v>
      </c>
      <c r="I216" s="5"/>
      <c r="J216" s="5"/>
      <c r="K216" s="5"/>
      <c r="L216" s="5"/>
      <c r="M216" s="5"/>
      <c r="N216" s="8"/>
      <c r="O216" s="5"/>
      <c r="P216" s="5"/>
      <c r="Q216" s="5"/>
      <c r="R216" s="5"/>
      <c r="S216" s="48"/>
      <c r="T216" s="48"/>
      <c r="U216" s="22"/>
      <c r="V216" s="5" t="s">
        <v>516</v>
      </c>
      <c r="W216" s="5" t="s">
        <v>533</v>
      </c>
      <c r="X216" s="5"/>
      <c r="Y216" s="5" t="s">
        <v>255</v>
      </c>
      <c r="Z216" s="5"/>
      <c r="AA216" s="5"/>
      <c r="AB216" s="5" t="s">
        <v>41</v>
      </c>
      <c r="AC216" s="5">
        <v>68</v>
      </c>
      <c r="AD216" s="5" t="s">
        <v>422</v>
      </c>
    </row>
    <row r="217" spans="1:30" s="6" customFormat="1" x14ac:dyDescent="0.2">
      <c r="A217" s="13">
        <v>215</v>
      </c>
      <c r="B217" s="5" t="s">
        <v>550</v>
      </c>
      <c r="C217" s="5"/>
      <c r="D217" s="5" t="s">
        <v>418</v>
      </c>
      <c r="E217" s="5" t="s">
        <v>124</v>
      </c>
      <c r="F217" s="5"/>
      <c r="G217" s="5"/>
      <c r="H217" s="5"/>
      <c r="I217" s="5"/>
      <c r="J217" s="5"/>
      <c r="K217" s="5"/>
      <c r="L217" s="5"/>
      <c r="M217" s="5"/>
      <c r="N217" s="8"/>
      <c r="O217" s="5"/>
      <c r="P217" s="5">
        <v>1</v>
      </c>
      <c r="Q217" s="5"/>
      <c r="R217" s="5"/>
      <c r="S217" s="48" t="s">
        <v>649</v>
      </c>
      <c r="T217" s="48" t="s">
        <v>633</v>
      </c>
      <c r="U217" s="22" t="s">
        <v>635</v>
      </c>
      <c r="V217" s="5"/>
      <c r="W217" s="5"/>
      <c r="X217" s="5" t="s">
        <v>27</v>
      </c>
      <c r="Y217" s="5" t="s">
        <v>27</v>
      </c>
      <c r="Z217" s="5"/>
      <c r="AA217" s="5"/>
      <c r="AB217" s="5"/>
      <c r="AC217" s="5">
        <v>68</v>
      </c>
      <c r="AD217" s="5" t="s">
        <v>417</v>
      </c>
    </row>
    <row r="218" spans="1:30" s="6" customFormat="1" x14ac:dyDescent="0.2">
      <c r="A218" s="13">
        <v>216</v>
      </c>
      <c r="B218" s="5" t="s">
        <v>550</v>
      </c>
      <c r="C218" s="5"/>
      <c r="D218" s="5" t="s">
        <v>419</v>
      </c>
      <c r="E218" s="5"/>
      <c r="F218" s="5"/>
      <c r="G218" s="5"/>
      <c r="H218" s="5"/>
      <c r="I218" s="5"/>
      <c r="J218" s="5"/>
      <c r="K218" s="5"/>
      <c r="L218" s="5"/>
      <c r="M218" s="5"/>
      <c r="N218" s="8"/>
      <c r="O218" s="5"/>
      <c r="P218" s="5"/>
      <c r="Q218" s="5"/>
      <c r="R218" s="5"/>
      <c r="S218" s="48" t="s">
        <v>636</v>
      </c>
      <c r="T218" s="48"/>
      <c r="U218" s="22"/>
      <c r="V218" s="5"/>
      <c r="W218" s="5"/>
      <c r="X218" s="5" t="s">
        <v>173</v>
      </c>
      <c r="Y218" s="5" t="s">
        <v>173</v>
      </c>
      <c r="Z218" s="5">
        <v>1</v>
      </c>
      <c r="AA218" s="5"/>
      <c r="AB218" s="5" t="s">
        <v>420</v>
      </c>
      <c r="AC218" s="5">
        <v>68</v>
      </c>
      <c r="AD218" s="5" t="s">
        <v>417</v>
      </c>
    </row>
    <row r="219" spans="1:30" s="6" customFormat="1" x14ac:dyDescent="0.2">
      <c r="A219" s="13">
        <v>217</v>
      </c>
      <c r="B219" s="5" t="s">
        <v>550</v>
      </c>
      <c r="C219" s="5"/>
      <c r="D219" s="5" t="s">
        <v>421</v>
      </c>
      <c r="E219" s="5"/>
      <c r="F219" s="5"/>
      <c r="G219" s="5"/>
      <c r="H219" s="5"/>
      <c r="I219" s="5"/>
      <c r="J219" s="5"/>
      <c r="K219" s="5"/>
      <c r="L219" s="5"/>
      <c r="M219" s="5"/>
      <c r="N219" s="8"/>
      <c r="O219" s="5"/>
      <c r="P219" s="5"/>
      <c r="Q219" s="5"/>
      <c r="R219" s="5"/>
      <c r="S219" s="48"/>
      <c r="T219" s="48"/>
      <c r="U219" s="22"/>
      <c r="V219" s="5"/>
      <c r="W219" s="5"/>
      <c r="X219" s="5" t="s">
        <v>173</v>
      </c>
      <c r="Y219" s="5" t="s">
        <v>173</v>
      </c>
      <c r="Z219" s="5"/>
      <c r="AA219" s="5"/>
      <c r="AB219" s="5" t="s">
        <v>453</v>
      </c>
      <c r="AC219" s="5">
        <v>68</v>
      </c>
      <c r="AD219" s="5" t="s">
        <v>417</v>
      </c>
    </row>
    <row r="220" spans="1:30" s="6" customFormat="1" ht="16" x14ac:dyDescent="0.2">
      <c r="A220" s="13">
        <v>218</v>
      </c>
      <c r="B220" s="5" t="s">
        <v>550</v>
      </c>
      <c r="C220" s="5"/>
      <c r="D220" s="5"/>
      <c r="E220" s="8" t="s">
        <v>443</v>
      </c>
      <c r="F220" s="8" t="s">
        <v>426</v>
      </c>
      <c r="G220" s="5"/>
      <c r="H220" s="5"/>
      <c r="I220" s="5"/>
      <c r="J220" s="5"/>
      <c r="K220" s="5"/>
      <c r="L220" s="5"/>
      <c r="M220" s="5"/>
      <c r="N220" s="8">
        <v>6</v>
      </c>
      <c r="O220" s="5"/>
      <c r="P220" s="5"/>
      <c r="Q220" s="5"/>
      <c r="R220" s="5" t="s">
        <v>425</v>
      </c>
      <c r="S220" s="48"/>
      <c r="T220" s="48"/>
      <c r="U220" s="22"/>
      <c r="V220" s="5"/>
      <c r="W220" s="5"/>
      <c r="X220" s="5" t="s">
        <v>25</v>
      </c>
      <c r="Y220" s="5" t="s">
        <v>25</v>
      </c>
      <c r="Z220" s="5">
        <v>1</v>
      </c>
      <c r="AA220" s="5"/>
      <c r="AB220" s="5" t="s">
        <v>444</v>
      </c>
      <c r="AC220" s="5">
        <v>68</v>
      </c>
      <c r="AD220" s="5" t="s">
        <v>417</v>
      </c>
    </row>
    <row r="221" spans="1:30" s="6" customFormat="1" ht="16" x14ac:dyDescent="0.2">
      <c r="A221" s="13">
        <v>219</v>
      </c>
      <c r="B221" s="5" t="s">
        <v>550</v>
      </c>
      <c r="C221" s="5"/>
      <c r="D221" s="5"/>
      <c r="E221" s="8" t="s">
        <v>443</v>
      </c>
      <c r="F221" s="8" t="s">
        <v>73</v>
      </c>
      <c r="G221" s="5"/>
      <c r="H221" s="5"/>
      <c r="I221" s="5"/>
      <c r="J221" s="5"/>
      <c r="K221" s="5"/>
      <c r="L221" s="5"/>
      <c r="M221" s="5"/>
      <c r="N221" s="8">
        <v>6</v>
      </c>
      <c r="O221" s="5"/>
      <c r="P221" s="5"/>
      <c r="Q221" s="5"/>
      <c r="R221" s="5" t="s">
        <v>427</v>
      </c>
      <c r="S221" s="48"/>
      <c r="T221" s="48"/>
      <c r="U221" s="22"/>
      <c r="V221" s="5"/>
      <c r="W221" s="5"/>
      <c r="X221" s="5" t="s">
        <v>25</v>
      </c>
      <c r="Y221" s="5" t="s">
        <v>25</v>
      </c>
      <c r="Z221" s="5">
        <v>1</v>
      </c>
      <c r="AA221" s="5"/>
      <c r="AB221" s="5" t="s">
        <v>444</v>
      </c>
      <c r="AC221" s="5">
        <v>68</v>
      </c>
      <c r="AD221" s="5" t="s">
        <v>417</v>
      </c>
    </row>
    <row r="222" spans="1:30" s="6" customFormat="1" ht="16" x14ac:dyDescent="0.2">
      <c r="A222" s="13">
        <v>220</v>
      </c>
      <c r="B222" s="5" t="s">
        <v>550</v>
      </c>
      <c r="C222" s="5"/>
      <c r="D222" s="5"/>
      <c r="E222" s="8" t="s">
        <v>443</v>
      </c>
      <c r="F222" s="8" t="s">
        <v>71</v>
      </c>
      <c r="G222" s="5"/>
      <c r="H222" s="5"/>
      <c r="I222" s="5"/>
      <c r="J222" s="5"/>
      <c r="K222" s="5"/>
      <c r="L222" s="5"/>
      <c r="M222" s="5"/>
      <c r="N222" s="8">
        <v>6</v>
      </c>
      <c r="O222" s="5"/>
      <c r="P222" s="5"/>
      <c r="Q222" s="5"/>
      <c r="R222" s="5" t="s">
        <v>428</v>
      </c>
      <c r="S222" s="48"/>
      <c r="T222" s="48"/>
      <c r="U222" s="22"/>
      <c r="V222" s="5"/>
      <c r="W222" s="5"/>
      <c r="X222" s="5" t="s">
        <v>25</v>
      </c>
      <c r="Y222" s="5" t="s">
        <v>25</v>
      </c>
      <c r="Z222" s="5">
        <v>1</v>
      </c>
      <c r="AA222" s="5"/>
      <c r="AB222" s="5" t="s">
        <v>444</v>
      </c>
      <c r="AC222" s="5">
        <v>68</v>
      </c>
      <c r="AD222" s="5" t="s">
        <v>417</v>
      </c>
    </row>
    <row r="223" spans="1:30" s="6" customFormat="1" ht="16" x14ac:dyDescent="0.2">
      <c r="A223" s="13">
        <v>221</v>
      </c>
      <c r="B223" s="5" t="s">
        <v>550</v>
      </c>
      <c r="C223" s="5"/>
      <c r="D223" s="5"/>
      <c r="E223" s="8" t="s">
        <v>443</v>
      </c>
      <c r="F223" s="8" t="s">
        <v>246</v>
      </c>
      <c r="G223" s="5"/>
      <c r="H223" s="5"/>
      <c r="I223" s="5"/>
      <c r="J223" s="5"/>
      <c r="K223" s="5"/>
      <c r="L223" s="5"/>
      <c r="M223" s="5"/>
      <c r="N223" s="8">
        <v>6</v>
      </c>
      <c r="O223" s="5"/>
      <c r="P223" s="5"/>
      <c r="Q223" s="5"/>
      <c r="R223" s="5" t="s">
        <v>429</v>
      </c>
      <c r="S223" s="48"/>
      <c r="T223" s="48"/>
      <c r="U223" s="22"/>
      <c r="V223" s="5"/>
      <c r="W223" s="5"/>
      <c r="X223" s="5" t="s">
        <v>25</v>
      </c>
      <c r="Y223" s="5" t="s">
        <v>25</v>
      </c>
      <c r="Z223" s="5">
        <v>1</v>
      </c>
      <c r="AA223" s="5"/>
      <c r="AB223" s="5" t="s">
        <v>444</v>
      </c>
      <c r="AC223" s="5">
        <v>68</v>
      </c>
      <c r="AD223" s="5" t="s">
        <v>417</v>
      </c>
    </row>
    <row r="224" spans="1:30" s="6" customFormat="1" ht="16" x14ac:dyDescent="0.2">
      <c r="A224" s="13">
        <v>222</v>
      </c>
      <c r="B224" s="5" t="s">
        <v>550</v>
      </c>
      <c r="C224" s="5"/>
      <c r="D224" s="5"/>
      <c r="E224" s="8" t="s">
        <v>443</v>
      </c>
      <c r="F224" s="8" t="s">
        <v>245</v>
      </c>
      <c r="G224" s="5"/>
      <c r="H224" s="5"/>
      <c r="I224" s="5"/>
      <c r="J224" s="5"/>
      <c r="K224" s="5"/>
      <c r="L224" s="5"/>
      <c r="M224" s="5"/>
      <c r="N224" s="8">
        <v>6</v>
      </c>
      <c r="O224" s="5"/>
      <c r="P224" s="5"/>
      <c r="Q224" s="5"/>
      <c r="R224" s="5" t="s">
        <v>430</v>
      </c>
      <c r="S224" s="48"/>
      <c r="T224" s="48"/>
      <c r="U224" s="22"/>
      <c r="V224" s="5"/>
      <c r="W224" s="5"/>
      <c r="X224" s="5" t="s">
        <v>25</v>
      </c>
      <c r="Y224" s="5" t="s">
        <v>25</v>
      </c>
      <c r="Z224" s="5">
        <v>1</v>
      </c>
      <c r="AA224" s="5"/>
      <c r="AB224" s="5" t="s">
        <v>444</v>
      </c>
      <c r="AC224" s="5">
        <v>68</v>
      </c>
      <c r="AD224" s="5" t="s">
        <v>417</v>
      </c>
    </row>
    <row r="225" spans="1:30" s="6" customFormat="1" ht="16" x14ac:dyDescent="0.2">
      <c r="A225" s="13">
        <v>223</v>
      </c>
      <c r="B225" s="5" t="s">
        <v>550</v>
      </c>
      <c r="C225" s="5"/>
      <c r="D225" s="5"/>
      <c r="E225" s="8" t="s">
        <v>443</v>
      </c>
      <c r="F225" s="8" t="s">
        <v>70</v>
      </c>
      <c r="G225" s="5"/>
      <c r="H225" s="5"/>
      <c r="I225" s="5"/>
      <c r="J225" s="5"/>
      <c r="K225" s="5"/>
      <c r="L225" s="5"/>
      <c r="M225" s="5"/>
      <c r="N225" s="8">
        <v>6</v>
      </c>
      <c r="O225" s="5"/>
      <c r="P225" s="5"/>
      <c r="Q225" s="5"/>
      <c r="R225" s="5" t="s">
        <v>431</v>
      </c>
      <c r="S225" s="48"/>
      <c r="T225" s="48"/>
      <c r="U225" s="22"/>
      <c r="V225" s="5"/>
      <c r="W225" s="5"/>
      <c r="X225" s="5" t="s">
        <v>25</v>
      </c>
      <c r="Y225" s="5" t="s">
        <v>25</v>
      </c>
      <c r="Z225" s="5">
        <v>1</v>
      </c>
      <c r="AA225" s="5"/>
      <c r="AB225" s="5" t="s">
        <v>444</v>
      </c>
      <c r="AC225" s="5">
        <v>68</v>
      </c>
      <c r="AD225" s="5" t="s">
        <v>417</v>
      </c>
    </row>
    <row r="226" spans="1:30" s="6" customFormat="1" ht="16" x14ac:dyDescent="0.2">
      <c r="A226" s="13">
        <v>224</v>
      </c>
      <c r="B226" s="5" t="s">
        <v>550</v>
      </c>
      <c r="C226" s="5"/>
      <c r="D226" s="5"/>
      <c r="E226" s="8" t="s">
        <v>443</v>
      </c>
      <c r="F226" s="8" t="s">
        <v>426</v>
      </c>
      <c r="G226" s="5"/>
      <c r="H226" s="5"/>
      <c r="I226" s="5"/>
      <c r="J226" s="5"/>
      <c r="K226" s="5"/>
      <c r="L226" s="5"/>
      <c r="M226" s="5"/>
      <c r="N226" s="8">
        <v>6</v>
      </c>
      <c r="O226" s="5"/>
      <c r="P226" s="5"/>
      <c r="Q226" s="5"/>
      <c r="R226" s="5" t="s">
        <v>432</v>
      </c>
      <c r="S226" s="48"/>
      <c r="T226" s="48"/>
      <c r="U226" s="22"/>
      <c r="V226" s="5"/>
      <c r="W226" s="5"/>
      <c r="X226" s="5" t="s">
        <v>25</v>
      </c>
      <c r="Y226" s="5" t="s">
        <v>25</v>
      </c>
      <c r="Z226" s="5">
        <v>1</v>
      </c>
      <c r="AA226" s="5"/>
      <c r="AB226" s="5" t="s">
        <v>444</v>
      </c>
      <c r="AC226" s="5">
        <v>68</v>
      </c>
      <c r="AD226" s="5" t="s">
        <v>417</v>
      </c>
    </row>
    <row r="227" spans="1:30" s="6" customFormat="1" ht="16" x14ac:dyDescent="0.2">
      <c r="A227" s="13">
        <v>225</v>
      </c>
      <c r="B227" s="5" t="s">
        <v>550</v>
      </c>
      <c r="C227" s="5"/>
      <c r="D227" s="5"/>
      <c r="E227" s="8" t="s">
        <v>443</v>
      </c>
      <c r="F227" s="8" t="s">
        <v>73</v>
      </c>
      <c r="G227" s="5"/>
      <c r="H227" s="5"/>
      <c r="I227" s="5"/>
      <c r="J227" s="5"/>
      <c r="K227" s="5"/>
      <c r="L227" s="5"/>
      <c r="M227" s="5"/>
      <c r="N227" s="8">
        <v>6</v>
      </c>
      <c r="O227" s="5"/>
      <c r="P227" s="5"/>
      <c r="Q227" s="5"/>
      <c r="R227" s="5" t="s">
        <v>433</v>
      </c>
      <c r="S227" s="48"/>
      <c r="T227" s="48"/>
      <c r="U227" s="22"/>
      <c r="V227" s="5"/>
      <c r="W227" s="5"/>
      <c r="X227" s="5" t="s">
        <v>25</v>
      </c>
      <c r="Y227" s="5" t="s">
        <v>25</v>
      </c>
      <c r="Z227" s="5">
        <v>1</v>
      </c>
      <c r="AA227" s="5"/>
      <c r="AB227" s="5" t="s">
        <v>444</v>
      </c>
      <c r="AC227" s="5">
        <v>68</v>
      </c>
      <c r="AD227" s="5" t="s">
        <v>417</v>
      </c>
    </row>
    <row r="228" spans="1:30" s="6" customFormat="1" ht="16" x14ac:dyDescent="0.2">
      <c r="A228" s="13">
        <v>226</v>
      </c>
      <c r="B228" s="5" t="s">
        <v>550</v>
      </c>
      <c r="C228" s="5"/>
      <c r="D228" s="5"/>
      <c r="E228" s="8" t="s">
        <v>443</v>
      </c>
      <c r="F228" s="8" t="s">
        <v>71</v>
      </c>
      <c r="G228" s="5"/>
      <c r="H228" s="5"/>
      <c r="I228" s="5"/>
      <c r="J228" s="5"/>
      <c r="K228" s="5"/>
      <c r="L228" s="5"/>
      <c r="M228" s="5"/>
      <c r="N228" s="8">
        <v>6</v>
      </c>
      <c r="O228" s="5"/>
      <c r="P228" s="5"/>
      <c r="Q228" s="5"/>
      <c r="R228" s="5" t="s">
        <v>434</v>
      </c>
      <c r="S228" s="48"/>
      <c r="T228" s="48"/>
      <c r="U228" s="22"/>
      <c r="V228" s="5"/>
      <c r="W228" s="5"/>
      <c r="X228" s="5" t="s">
        <v>25</v>
      </c>
      <c r="Y228" s="5" t="s">
        <v>25</v>
      </c>
      <c r="Z228" s="5">
        <v>1</v>
      </c>
      <c r="AA228" s="5"/>
      <c r="AB228" s="5" t="s">
        <v>444</v>
      </c>
      <c r="AC228" s="5">
        <v>68</v>
      </c>
      <c r="AD228" s="5" t="s">
        <v>417</v>
      </c>
    </row>
    <row r="229" spans="1:30" s="6" customFormat="1" ht="16" x14ac:dyDescent="0.2">
      <c r="A229" s="13">
        <v>227</v>
      </c>
      <c r="B229" s="5" t="s">
        <v>550</v>
      </c>
      <c r="C229" s="5"/>
      <c r="D229" s="5"/>
      <c r="E229" s="8" t="s">
        <v>443</v>
      </c>
      <c r="F229" s="8" t="s">
        <v>246</v>
      </c>
      <c r="G229" s="5"/>
      <c r="H229" s="5"/>
      <c r="I229" s="5"/>
      <c r="J229" s="5"/>
      <c r="K229" s="5"/>
      <c r="L229" s="5"/>
      <c r="M229" s="5"/>
      <c r="N229" s="8">
        <v>6</v>
      </c>
      <c r="O229" s="5"/>
      <c r="P229" s="5"/>
      <c r="Q229" s="5"/>
      <c r="R229" s="5" t="s">
        <v>435</v>
      </c>
      <c r="S229" s="48"/>
      <c r="T229" s="48"/>
      <c r="U229" s="22"/>
      <c r="V229" s="5"/>
      <c r="W229" s="5"/>
      <c r="X229" s="5" t="s">
        <v>25</v>
      </c>
      <c r="Y229" s="5" t="s">
        <v>25</v>
      </c>
      <c r="Z229" s="5">
        <v>1</v>
      </c>
      <c r="AA229" s="5"/>
      <c r="AB229" s="5" t="s">
        <v>444</v>
      </c>
      <c r="AC229" s="5">
        <v>68</v>
      </c>
      <c r="AD229" s="5" t="s">
        <v>417</v>
      </c>
    </row>
    <row r="230" spans="1:30" s="6" customFormat="1" ht="16" x14ac:dyDescent="0.2">
      <c r="A230" s="13">
        <v>228</v>
      </c>
      <c r="B230" s="5" t="s">
        <v>550</v>
      </c>
      <c r="C230" s="5"/>
      <c r="D230" s="5"/>
      <c r="E230" s="8" t="s">
        <v>443</v>
      </c>
      <c r="F230" s="8" t="s">
        <v>245</v>
      </c>
      <c r="G230" s="5"/>
      <c r="H230" s="5"/>
      <c r="I230" s="5"/>
      <c r="J230" s="5"/>
      <c r="K230" s="5"/>
      <c r="L230" s="5"/>
      <c r="M230" s="5"/>
      <c r="N230" s="8">
        <v>6</v>
      </c>
      <c r="O230" s="5"/>
      <c r="P230" s="5"/>
      <c r="Q230" s="5"/>
      <c r="R230" s="5" t="s">
        <v>436</v>
      </c>
      <c r="S230" s="48"/>
      <c r="T230" s="48"/>
      <c r="U230" s="22"/>
      <c r="V230" s="5"/>
      <c r="W230" s="5"/>
      <c r="X230" s="5" t="s">
        <v>25</v>
      </c>
      <c r="Y230" s="5" t="s">
        <v>25</v>
      </c>
      <c r="Z230" s="5">
        <v>1</v>
      </c>
      <c r="AA230" s="5"/>
      <c r="AB230" s="5" t="s">
        <v>444</v>
      </c>
      <c r="AC230" s="5">
        <v>68</v>
      </c>
      <c r="AD230" s="5" t="s">
        <v>417</v>
      </c>
    </row>
    <row r="231" spans="1:30" s="6" customFormat="1" ht="16" x14ac:dyDescent="0.2">
      <c r="A231" s="13">
        <v>229</v>
      </c>
      <c r="B231" s="5" t="s">
        <v>550</v>
      </c>
      <c r="C231" s="5"/>
      <c r="D231" s="5"/>
      <c r="E231" s="8" t="s">
        <v>443</v>
      </c>
      <c r="F231" s="8" t="s">
        <v>70</v>
      </c>
      <c r="G231" s="5"/>
      <c r="H231" s="5"/>
      <c r="I231" s="5"/>
      <c r="J231" s="5"/>
      <c r="K231" s="5"/>
      <c r="L231" s="5"/>
      <c r="M231" s="5"/>
      <c r="N231" s="8">
        <v>6</v>
      </c>
      <c r="O231" s="5"/>
      <c r="P231" s="5"/>
      <c r="Q231" s="5"/>
      <c r="R231" s="5" t="s">
        <v>437</v>
      </c>
      <c r="S231" s="48"/>
      <c r="T231" s="48"/>
      <c r="U231" s="22"/>
      <c r="V231" s="5"/>
      <c r="W231" s="5"/>
      <c r="X231" s="5" t="s">
        <v>25</v>
      </c>
      <c r="Y231" s="5" t="s">
        <v>25</v>
      </c>
      <c r="Z231" s="5">
        <v>1</v>
      </c>
      <c r="AA231" s="5"/>
      <c r="AB231" s="5" t="s">
        <v>444</v>
      </c>
      <c r="AC231" s="5">
        <v>68</v>
      </c>
      <c r="AD231" s="5" t="s">
        <v>417</v>
      </c>
    </row>
    <row r="232" spans="1:30" s="6" customFormat="1" ht="16" x14ac:dyDescent="0.2">
      <c r="A232" s="13">
        <v>230</v>
      </c>
      <c r="B232" s="5" t="s">
        <v>550</v>
      </c>
      <c r="C232" s="5"/>
      <c r="D232" s="5"/>
      <c r="E232" s="8" t="s">
        <v>125</v>
      </c>
      <c r="F232" s="8" t="s">
        <v>426</v>
      </c>
      <c r="G232" s="5"/>
      <c r="H232" s="5"/>
      <c r="I232" s="5"/>
      <c r="J232" s="5"/>
      <c r="K232" s="5"/>
      <c r="L232" s="5"/>
      <c r="M232" s="5"/>
      <c r="N232" s="8">
        <v>6</v>
      </c>
      <c r="O232" s="5"/>
      <c r="P232" s="5"/>
      <c r="Q232" s="5"/>
      <c r="R232" s="5" t="s">
        <v>425</v>
      </c>
      <c r="S232" s="48"/>
      <c r="T232" s="48"/>
      <c r="U232" s="22"/>
      <c r="V232" s="5"/>
      <c r="W232" s="5"/>
      <c r="X232" s="5" t="s">
        <v>19</v>
      </c>
      <c r="Y232" s="5" t="s">
        <v>19</v>
      </c>
      <c r="Z232" s="5">
        <v>1</v>
      </c>
      <c r="AA232" s="5"/>
      <c r="AB232" s="5" t="s">
        <v>424</v>
      </c>
      <c r="AC232" s="5">
        <v>68</v>
      </c>
      <c r="AD232" s="5" t="s">
        <v>417</v>
      </c>
    </row>
    <row r="233" spans="1:30" s="6" customFormat="1" ht="16" x14ac:dyDescent="0.2">
      <c r="A233" s="13">
        <v>231</v>
      </c>
      <c r="B233" s="5" t="s">
        <v>550</v>
      </c>
      <c r="C233" s="5"/>
      <c r="D233" s="5"/>
      <c r="E233" s="8" t="s">
        <v>125</v>
      </c>
      <c r="F233" s="8" t="s">
        <v>73</v>
      </c>
      <c r="G233" s="5"/>
      <c r="H233" s="5"/>
      <c r="I233" s="5"/>
      <c r="J233" s="5"/>
      <c r="K233" s="5"/>
      <c r="L233" s="5"/>
      <c r="M233" s="5"/>
      <c r="N233" s="8">
        <v>6</v>
      </c>
      <c r="O233" s="5"/>
      <c r="P233" s="5"/>
      <c r="Q233" s="5"/>
      <c r="R233" s="5" t="s">
        <v>427</v>
      </c>
      <c r="S233" s="48"/>
      <c r="T233" s="48"/>
      <c r="U233" s="22"/>
      <c r="V233" s="5"/>
      <c r="W233" s="5"/>
      <c r="X233" s="5" t="s">
        <v>19</v>
      </c>
      <c r="Y233" s="5" t="s">
        <v>19</v>
      </c>
      <c r="Z233" s="5">
        <v>1</v>
      </c>
      <c r="AA233" s="5"/>
      <c r="AB233" s="5" t="s">
        <v>424</v>
      </c>
      <c r="AC233" s="5">
        <v>68</v>
      </c>
      <c r="AD233" s="5" t="s">
        <v>417</v>
      </c>
    </row>
    <row r="234" spans="1:30" s="6" customFormat="1" ht="16" x14ac:dyDescent="0.2">
      <c r="A234" s="13">
        <v>232</v>
      </c>
      <c r="B234" s="5" t="s">
        <v>550</v>
      </c>
      <c r="C234" s="5"/>
      <c r="D234" s="5"/>
      <c r="E234" s="8" t="s">
        <v>125</v>
      </c>
      <c r="F234" s="8" t="s">
        <v>71</v>
      </c>
      <c r="G234" s="5"/>
      <c r="H234" s="5"/>
      <c r="I234" s="5"/>
      <c r="J234" s="5"/>
      <c r="K234" s="5"/>
      <c r="L234" s="5"/>
      <c r="M234" s="5"/>
      <c r="N234" s="8">
        <v>6</v>
      </c>
      <c r="O234" s="5"/>
      <c r="P234" s="5"/>
      <c r="Q234" s="5"/>
      <c r="R234" s="5" t="s">
        <v>428</v>
      </c>
      <c r="S234" s="48"/>
      <c r="T234" s="48"/>
      <c r="U234" s="22"/>
      <c r="V234" s="5"/>
      <c r="W234" s="5"/>
      <c r="X234" s="5" t="s">
        <v>12</v>
      </c>
      <c r="Y234" s="5" t="s">
        <v>12</v>
      </c>
      <c r="Z234" s="5">
        <v>1</v>
      </c>
      <c r="AA234" s="5"/>
      <c r="AB234" s="5" t="s">
        <v>424</v>
      </c>
      <c r="AC234" s="5">
        <v>68</v>
      </c>
      <c r="AD234" s="5" t="s">
        <v>417</v>
      </c>
    </row>
    <row r="235" spans="1:30" s="6" customFormat="1" ht="16" x14ac:dyDescent="0.2">
      <c r="A235" s="13">
        <v>233</v>
      </c>
      <c r="B235" s="5" t="s">
        <v>550</v>
      </c>
      <c r="C235" s="5"/>
      <c r="D235" s="5"/>
      <c r="E235" s="8" t="s">
        <v>125</v>
      </c>
      <c r="F235" s="8" t="s">
        <v>246</v>
      </c>
      <c r="G235" s="5"/>
      <c r="H235" s="5"/>
      <c r="I235" s="5"/>
      <c r="J235" s="5"/>
      <c r="K235" s="5"/>
      <c r="L235" s="5"/>
      <c r="M235" s="5"/>
      <c r="N235" s="8">
        <v>6</v>
      </c>
      <c r="O235" s="5"/>
      <c r="P235" s="5"/>
      <c r="Q235" s="5"/>
      <c r="R235" s="5" t="s">
        <v>429</v>
      </c>
      <c r="S235" s="48"/>
      <c r="T235" s="48"/>
      <c r="U235" s="22"/>
      <c r="V235" s="5"/>
      <c r="W235" s="5"/>
      <c r="X235" s="5" t="s">
        <v>19</v>
      </c>
      <c r="Y235" s="5" t="s">
        <v>19</v>
      </c>
      <c r="Z235" s="5">
        <v>1</v>
      </c>
      <c r="AA235" s="5"/>
      <c r="AB235" s="5" t="s">
        <v>424</v>
      </c>
      <c r="AC235" s="5">
        <v>68</v>
      </c>
      <c r="AD235" s="5" t="s">
        <v>417</v>
      </c>
    </row>
    <row r="236" spans="1:30" s="6" customFormat="1" ht="16" x14ac:dyDescent="0.2">
      <c r="A236" s="13">
        <v>234</v>
      </c>
      <c r="B236" s="5" t="s">
        <v>550</v>
      </c>
      <c r="C236" s="5"/>
      <c r="D236" s="5"/>
      <c r="E236" s="8" t="s">
        <v>125</v>
      </c>
      <c r="F236" s="8" t="s">
        <v>245</v>
      </c>
      <c r="G236" s="5"/>
      <c r="H236" s="5"/>
      <c r="I236" s="5"/>
      <c r="J236" s="5"/>
      <c r="K236" s="5"/>
      <c r="L236" s="5"/>
      <c r="M236" s="5"/>
      <c r="N236" s="8">
        <v>6</v>
      </c>
      <c r="O236" s="5"/>
      <c r="P236" s="5"/>
      <c r="Q236" s="5"/>
      <c r="R236" s="5" t="s">
        <v>430</v>
      </c>
      <c r="S236" s="48"/>
      <c r="T236" s="48"/>
      <c r="U236" s="22"/>
      <c r="V236" s="5"/>
      <c r="W236" s="5"/>
      <c r="X236" s="5" t="s">
        <v>12</v>
      </c>
      <c r="Y236" s="5" t="s">
        <v>12</v>
      </c>
      <c r="Z236" s="5">
        <v>1</v>
      </c>
      <c r="AA236" s="5"/>
      <c r="AB236" s="5" t="s">
        <v>424</v>
      </c>
      <c r="AC236" s="5">
        <v>68</v>
      </c>
      <c r="AD236" s="5" t="s">
        <v>417</v>
      </c>
    </row>
    <row r="237" spans="1:30" s="6" customFormat="1" ht="16" x14ac:dyDescent="0.2">
      <c r="A237" s="13">
        <v>235</v>
      </c>
      <c r="B237" s="5" t="s">
        <v>550</v>
      </c>
      <c r="C237" s="5"/>
      <c r="D237" s="5"/>
      <c r="E237" s="8" t="s">
        <v>125</v>
      </c>
      <c r="F237" s="8" t="s">
        <v>70</v>
      </c>
      <c r="G237" s="5"/>
      <c r="H237" s="5"/>
      <c r="I237" s="5"/>
      <c r="J237" s="5"/>
      <c r="K237" s="5"/>
      <c r="L237" s="5"/>
      <c r="M237" s="5"/>
      <c r="N237" s="8">
        <v>6</v>
      </c>
      <c r="O237" s="5"/>
      <c r="P237" s="5"/>
      <c r="Q237" s="5"/>
      <c r="R237" s="5" t="s">
        <v>431</v>
      </c>
      <c r="S237" s="48"/>
      <c r="T237" s="48"/>
      <c r="U237" s="22"/>
      <c r="V237" s="5"/>
      <c r="W237" s="5"/>
      <c r="X237" s="5" t="s">
        <v>65</v>
      </c>
      <c r="Y237" s="5" t="s">
        <v>65</v>
      </c>
      <c r="Z237" s="5">
        <v>1</v>
      </c>
      <c r="AA237" s="5"/>
      <c r="AB237" s="5" t="s">
        <v>424</v>
      </c>
      <c r="AC237" s="5">
        <v>68</v>
      </c>
      <c r="AD237" s="5" t="s">
        <v>417</v>
      </c>
    </row>
    <row r="238" spans="1:30" s="6" customFormat="1" ht="16" x14ac:dyDescent="0.2">
      <c r="A238" s="13">
        <v>236</v>
      </c>
      <c r="B238" s="5" t="s">
        <v>550</v>
      </c>
      <c r="C238" s="5"/>
      <c r="D238" s="5"/>
      <c r="E238" s="8" t="s">
        <v>125</v>
      </c>
      <c r="F238" s="8" t="s">
        <v>426</v>
      </c>
      <c r="G238" s="5"/>
      <c r="H238" s="5"/>
      <c r="I238" s="5"/>
      <c r="J238" s="5"/>
      <c r="K238" s="5"/>
      <c r="L238" s="5"/>
      <c r="M238" s="5"/>
      <c r="N238" s="8">
        <v>6</v>
      </c>
      <c r="O238" s="5"/>
      <c r="P238" s="5"/>
      <c r="Q238" s="5"/>
      <c r="R238" s="5" t="s">
        <v>432</v>
      </c>
      <c r="S238" s="48"/>
      <c r="T238" s="48"/>
      <c r="U238" s="22"/>
      <c r="V238" s="5"/>
      <c r="W238" s="5"/>
      <c r="X238" s="5" t="s">
        <v>12</v>
      </c>
      <c r="Y238" s="5" t="s">
        <v>12</v>
      </c>
      <c r="Z238" s="5">
        <v>1</v>
      </c>
      <c r="AA238" s="5"/>
      <c r="AB238" s="5" t="s">
        <v>424</v>
      </c>
      <c r="AC238" s="5">
        <v>68</v>
      </c>
      <c r="AD238" s="5" t="s">
        <v>417</v>
      </c>
    </row>
    <row r="239" spans="1:30" s="6" customFormat="1" ht="16" x14ac:dyDescent="0.2">
      <c r="A239" s="13">
        <v>237</v>
      </c>
      <c r="B239" s="5" t="s">
        <v>550</v>
      </c>
      <c r="C239" s="5"/>
      <c r="D239" s="5"/>
      <c r="E239" s="8" t="s">
        <v>125</v>
      </c>
      <c r="F239" s="8" t="s">
        <v>73</v>
      </c>
      <c r="G239" s="5"/>
      <c r="H239" s="5"/>
      <c r="I239" s="5"/>
      <c r="J239" s="5"/>
      <c r="K239" s="5"/>
      <c r="L239" s="5"/>
      <c r="M239" s="5"/>
      <c r="N239" s="8">
        <v>6</v>
      </c>
      <c r="O239" s="5"/>
      <c r="P239" s="5"/>
      <c r="Q239" s="5"/>
      <c r="R239" s="5" t="s">
        <v>433</v>
      </c>
      <c r="S239" s="48"/>
      <c r="T239" s="48"/>
      <c r="U239" s="22"/>
      <c r="V239" s="5"/>
      <c r="W239" s="5"/>
      <c r="X239" s="5" t="s">
        <v>65</v>
      </c>
      <c r="Y239" s="5" t="s">
        <v>65</v>
      </c>
      <c r="Z239" s="5">
        <v>1</v>
      </c>
      <c r="AA239" s="5"/>
      <c r="AB239" s="5" t="s">
        <v>424</v>
      </c>
      <c r="AC239" s="5">
        <v>68</v>
      </c>
      <c r="AD239" s="5" t="s">
        <v>417</v>
      </c>
    </row>
    <row r="240" spans="1:30" s="6" customFormat="1" ht="16" x14ac:dyDescent="0.2">
      <c r="A240" s="13">
        <v>238</v>
      </c>
      <c r="B240" s="5" t="s">
        <v>550</v>
      </c>
      <c r="C240" s="5"/>
      <c r="D240" s="5"/>
      <c r="E240" s="8" t="s">
        <v>125</v>
      </c>
      <c r="F240" s="8" t="s">
        <v>71</v>
      </c>
      <c r="G240" s="5"/>
      <c r="H240" s="5"/>
      <c r="I240" s="5"/>
      <c r="J240" s="5"/>
      <c r="K240" s="5"/>
      <c r="L240" s="5"/>
      <c r="M240" s="5"/>
      <c r="N240" s="8">
        <v>6</v>
      </c>
      <c r="O240" s="5"/>
      <c r="P240" s="5"/>
      <c r="Q240" s="5"/>
      <c r="R240" s="5" t="s">
        <v>434</v>
      </c>
      <c r="S240" s="48"/>
      <c r="T240" s="48"/>
      <c r="U240" s="22"/>
      <c r="V240" s="5"/>
      <c r="W240" s="5"/>
      <c r="X240" s="5" t="s">
        <v>65</v>
      </c>
      <c r="Y240" s="5" t="s">
        <v>65</v>
      </c>
      <c r="Z240" s="5">
        <v>1</v>
      </c>
      <c r="AA240" s="5"/>
      <c r="AB240" s="5" t="s">
        <v>424</v>
      </c>
      <c r="AC240" s="5">
        <v>68</v>
      </c>
      <c r="AD240" s="5" t="s">
        <v>417</v>
      </c>
    </row>
    <row r="241" spans="1:30" s="6" customFormat="1" ht="16" x14ac:dyDescent="0.2">
      <c r="A241" s="13">
        <v>239</v>
      </c>
      <c r="B241" s="5" t="s">
        <v>550</v>
      </c>
      <c r="C241" s="5"/>
      <c r="D241" s="5"/>
      <c r="E241" s="8" t="s">
        <v>125</v>
      </c>
      <c r="F241" s="8" t="s">
        <v>246</v>
      </c>
      <c r="G241" s="5"/>
      <c r="H241" s="5"/>
      <c r="I241" s="5"/>
      <c r="J241" s="5"/>
      <c r="K241" s="5"/>
      <c r="L241" s="5"/>
      <c r="M241" s="5"/>
      <c r="N241" s="8">
        <v>6</v>
      </c>
      <c r="O241" s="5"/>
      <c r="P241" s="5"/>
      <c r="Q241" s="5"/>
      <c r="R241" s="5" t="s">
        <v>435</v>
      </c>
      <c r="S241" s="48"/>
      <c r="T241" s="48"/>
      <c r="U241" s="22"/>
      <c r="V241" s="5"/>
      <c r="W241" s="5"/>
      <c r="X241" s="5" t="s">
        <v>72</v>
      </c>
      <c r="Y241" s="5" t="s">
        <v>72</v>
      </c>
      <c r="Z241" s="5">
        <v>1</v>
      </c>
      <c r="AA241" s="5"/>
      <c r="AB241" s="5" t="s">
        <v>424</v>
      </c>
      <c r="AC241" s="5">
        <v>68</v>
      </c>
      <c r="AD241" s="5" t="s">
        <v>417</v>
      </c>
    </row>
    <row r="242" spans="1:30" s="6" customFormat="1" ht="16" x14ac:dyDescent="0.2">
      <c r="A242" s="13">
        <v>240</v>
      </c>
      <c r="B242" s="5" t="s">
        <v>550</v>
      </c>
      <c r="C242" s="5"/>
      <c r="D242" s="5"/>
      <c r="E242" s="8" t="s">
        <v>125</v>
      </c>
      <c r="F242" s="8" t="s">
        <v>245</v>
      </c>
      <c r="G242" s="5"/>
      <c r="H242" s="5"/>
      <c r="I242" s="5"/>
      <c r="J242" s="5"/>
      <c r="K242" s="5"/>
      <c r="L242" s="5"/>
      <c r="M242" s="5"/>
      <c r="N242" s="8">
        <v>6</v>
      </c>
      <c r="O242" s="5"/>
      <c r="P242" s="5"/>
      <c r="Q242" s="5"/>
      <c r="R242" s="5" t="s">
        <v>436</v>
      </c>
      <c r="S242" s="48"/>
      <c r="T242" s="48"/>
      <c r="U242" s="22"/>
      <c r="V242" s="5"/>
      <c r="W242" s="5"/>
      <c r="X242" s="5" t="s">
        <v>72</v>
      </c>
      <c r="Y242" s="5" t="s">
        <v>72</v>
      </c>
      <c r="Z242" s="5">
        <v>1</v>
      </c>
      <c r="AA242" s="5"/>
      <c r="AB242" s="5" t="s">
        <v>424</v>
      </c>
      <c r="AC242" s="5">
        <v>68</v>
      </c>
      <c r="AD242" s="5" t="s">
        <v>417</v>
      </c>
    </row>
    <row r="243" spans="1:30" s="6" customFormat="1" ht="16" x14ac:dyDescent="0.2">
      <c r="A243" s="13">
        <v>241</v>
      </c>
      <c r="B243" s="5" t="s">
        <v>550</v>
      </c>
      <c r="C243" s="5"/>
      <c r="D243" s="5"/>
      <c r="E243" s="8" t="s">
        <v>125</v>
      </c>
      <c r="F243" s="8" t="s">
        <v>70</v>
      </c>
      <c r="G243" s="5"/>
      <c r="H243" s="5"/>
      <c r="I243" s="5"/>
      <c r="J243" s="5"/>
      <c r="K243" s="5"/>
      <c r="L243" s="5"/>
      <c r="M243" s="5"/>
      <c r="N243" s="8">
        <v>6</v>
      </c>
      <c r="O243" s="5"/>
      <c r="P243" s="5"/>
      <c r="Q243" s="5"/>
      <c r="R243" s="5" t="s">
        <v>437</v>
      </c>
      <c r="S243" s="48"/>
      <c r="T243" s="48"/>
      <c r="U243" s="22"/>
      <c r="V243" s="5"/>
      <c r="W243" s="5"/>
      <c r="X243" s="5" t="s">
        <v>72</v>
      </c>
      <c r="Y243" s="5" t="s">
        <v>72</v>
      </c>
      <c r="Z243" s="5">
        <v>1</v>
      </c>
      <c r="AA243" s="5"/>
      <c r="AB243" s="5" t="s">
        <v>424</v>
      </c>
      <c r="AC243" s="5">
        <v>68</v>
      </c>
      <c r="AD243" s="5" t="s">
        <v>417</v>
      </c>
    </row>
    <row r="244" spans="1:30" s="6" customFormat="1" ht="16" x14ac:dyDescent="0.2">
      <c r="A244" s="13">
        <v>242</v>
      </c>
      <c r="B244" s="5" t="s">
        <v>550</v>
      </c>
      <c r="C244" s="5"/>
      <c r="D244" s="5" t="s">
        <v>438</v>
      </c>
      <c r="E244" s="8" t="s">
        <v>122</v>
      </c>
      <c r="F244" s="8"/>
      <c r="G244" s="5" t="s">
        <v>52</v>
      </c>
      <c r="H244" s="5"/>
      <c r="I244" s="5"/>
      <c r="J244" s="5"/>
      <c r="K244" s="5"/>
      <c r="L244" s="5"/>
      <c r="M244" s="5"/>
      <c r="N244" s="8"/>
      <c r="O244" s="5"/>
      <c r="P244" s="5"/>
      <c r="Q244" s="5"/>
      <c r="R244" s="5" t="s">
        <v>425</v>
      </c>
      <c r="S244" s="48"/>
      <c r="T244" s="48" t="s">
        <v>639</v>
      </c>
      <c r="U244" s="22" t="s">
        <v>63</v>
      </c>
      <c r="V244" s="5"/>
      <c r="W244" s="5"/>
      <c r="X244" s="5" t="s">
        <v>12</v>
      </c>
      <c r="Y244" s="5" t="s">
        <v>12</v>
      </c>
      <c r="Z244" s="5">
        <v>1</v>
      </c>
      <c r="AA244" s="5"/>
      <c r="AB244" s="5" t="s">
        <v>442</v>
      </c>
      <c r="AC244" s="5">
        <v>68</v>
      </c>
      <c r="AD244" s="5" t="s">
        <v>417</v>
      </c>
    </row>
    <row r="245" spans="1:30" s="6" customFormat="1" ht="16" x14ac:dyDescent="0.2">
      <c r="A245" s="13">
        <v>243</v>
      </c>
      <c r="B245" s="5" t="s">
        <v>550</v>
      </c>
      <c r="C245" s="5"/>
      <c r="D245" s="5" t="s">
        <v>438</v>
      </c>
      <c r="E245" s="8" t="s">
        <v>122</v>
      </c>
      <c r="F245" s="8"/>
      <c r="G245" s="5" t="s">
        <v>242</v>
      </c>
      <c r="H245" s="5"/>
      <c r="I245" s="5"/>
      <c r="J245" s="5"/>
      <c r="K245" s="5"/>
      <c r="L245" s="5"/>
      <c r="M245" s="5"/>
      <c r="N245" s="8"/>
      <c r="O245" s="5"/>
      <c r="P245" s="5"/>
      <c r="Q245" s="5"/>
      <c r="R245" s="5" t="s">
        <v>427</v>
      </c>
      <c r="S245" s="48"/>
      <c r="T245" s="48" t="s">
        <v>639</v>
      </c>
      <c r="U245" s="22" t="s">
        <v>63</v>
      </c>
      <c r="V245" s="5"/>
      <c r="W245" s="5"/>
      <c r="X245" s="5" t="s">
        <v>65</v>
      </c>
      <c r="Y245" s="5" t="s">
        <v>65</v>
      </c>
      <c r="Z245" s="5">
        <v>1</v>
      </c>
      <c r="AA245" s="5"/>
      <c r="AB245" s="5" t="s">
        <v>442</v>
      </c>
      <c r="AC245" s="5">
        <v>68</v>
      </c>
      <c r="AD245" s="5" t="s">
        <v>417</v>
      </c>
    </row>
    <row r="246" spans="1:30" s="6" customFormat="1" ht="16" x14ac:dyDescent="0.2">
      <c r="A246" s="13">
        <v>244</v>
      </c>
      <c r="B246" s="5" t="s">
        <v>550</v>
      </c>
      <c r="C246" s="5"/>
      <c r="D246" s="5" t="s">
        <v>438</v>
      </c>
      <c r="E246" s="8" t="s">
        <v>122</v>
      </c>
      <c r="F246" s="8"/>
      <c r="G246" s="5" t="s">
        <v>242</v>
      </c>
      <c r="H246" s="5"/>
      <c r="I246" s="5"/>
      <c r="J246" s="5"/>
      <c r="K246" s="5"/>
      <c r="L246" s="5"/>
      <c r="M246" s="5"/>
      <c r="N246" s="8"/>
      <c r="O246" s="5"/>
      <c r="P246" s="5"/>
      <c r="Q246" s="5"/>
      <c r="R246" s="5" t="s">
        <v>428</v>
      </c>
      <c r="S246" s="48"/>
      <c r="T246" s="48" t="s">
        <v>639</v>
      </c>
      <c r="U246" s="22" t="s">
        <v>63</v>
      </c>
      <c r="V246" s="5"/>
      <c r="W246" s="5"/>
      <c r="X246" s="5" t="s">
        <v>65</v>
      </c>
      <c r="Y246" s="5" t="s">
        <v>65</v>
      </c>
      <c r="Z246" s="5">
        <v>1</v>
      </c>
      <c r="AA246" s="5"/>
      <c r="AB246" s="5" t="s">
        <v>442</v>
      </c>
      <c r="AC246" s="5">
        <v>68</v>
      </c>
      <c r="AD246" s="5" t="s">
        <v>417</v>
      </c>
    </row>
    <row r="247" spans="1:30" s="6" customFormat="1" ht="16" x14ac:dyDescent="0.2">
      <c r="A247" s="13">
        <v>245</v>
      </c>
      <c r="B247" s="5" t="s">
        <v>550</v>
      </c>
      <c r="C247" s="5"/>
      <c r="D247" s="5" t="s">
        <v>438</v>
      </c>
      <c r="E247" s="8" t="s">
        <v>122</v>
      </c>
      <c r="F247" s="8"/>
      <c r="G247" s="5" t="s">
        <v>36</v>
      </c>
      <c r="H247" s="5"/>
      <c r="I247" s="5"/>
      <c r="J247" s="5"/>
      <c r="K247" s="5"/>
      <c r="L247" s="5"/>
      <c r="M247" s="5"/>
      <c r="N247" s="8"/>
      <c r="O247" s="5"/>
      <c r="P247" s="5"/>
      <c r="Q247" s="5"/>
      <c r="R247" s="5" t="s">
        <v>429</v>
      </c>
      <c r="S247" s="48"/>
      <c r="T247" s="48" t="s">
        <v>639</v>
      </c>
      <c r="U247" s="22" t="s">
        <v>63</v>
      </c>
      <c r="V247" s="5"/>
      <c r="W247" s="5"/>
      <c r="X247" s="5" t="s">
        <v>72</v>
      </c>
      <c r="Y247" s="5" t="s">
        <v>72</v>
      </c>
      <c r="Z247" s="5">
        <v>1</v>
      </c>
      <c r="AA247" s="5"/>
      <c r="AB247" s="5" t="s">
        <v>442</v>
      </c>
      <c r="AC247" s="5">
        <v>68</v>
      </c>
      <c r="AD247" s="5" t="s">
        <v>417</v>
      </c>
    </row>
    <row r="248" spans="1:30" s="6" customFormat="1" ht="16" x14ac:dyDescent="0.2">
      <c r="A248" s="13">
        <v>246</v>
      </c>
      <c r="B248" s="5" t="s">
        <v>550</v>
      </c>
      <c r="C248" s="5"/>
      <c r="D248" s="5" t="s">
        <v>438</v>
      </c>
      <c r="E248" s="8" t="s">
        <v>122</v>
      </c>
      <c r="F248" s="8"/>
      <c r="G248" s="5" t="s">
        <v>36</v>
      </c>
      <c r="H248" s="5"/>
      <c r="I248" s="5"/>
      <c r="J248" s="5"/>
      <c r="K248" s="5"/>
      <c r="L248" s="5"/>
      <c r="M248" s="5"/>
      <c r="N248" s="8"/>
      <c r="O248" s="5"/>
      <c r="P248" s="5"/>
      <c r="Q248" s="5"/>
      <c r="R248" s="5" t="s">
        <v>430</v>
      </c>
      <c r="S248" s="48"/>
      <c r="T248" s="48" t="s">
        <v>639</v>
      </c>
      <c r="U248" s="22" t="s">
        <v>63</v>
      </c>
      <c r="V248" s="5"/>
      <c r="W248" s="5"/>
      <c r="X248" s="5" t="s">
        <v>72</v>
      </c>
      <c r="Y248" s="5" t="s">
        <v>72</v>
      </c>
      <c r="Z248" s="5">
        <v>1</v>
      </c>
      <c r="AA248" s="5"/>
      <c r="AB248" s="5" t="s">
        <v>442</v>
      </c>
      <c r="AC248" s="5">
        <v>68</v>
      </c>
      <c r="AD248" s="5" t="s">
        <v>417</v>
      </c>
    </row>
    <row r="249" spans="1:30" s="6" customFormat="1" ht="16" x14ac:dyDescent="0.2">
      <c r="A249" s="13">
        <v>247</v>
      </c>
      <c r="B249" s="5" t="s">
        <v>550</v>
      </c>
      <c r="C249" s="5"/>
      <c r="D249" s="5" t="s">
        <v>438</v>
      </c>
      <c r="E249" s="8" t="s">
        <v>122</v>
      </c>
      <c r="F249" s="8"/>
      <c r="G249" s="5" t="s">
        <v>36</v>
      </c>
      <c r="H249" s="5"/>
      <c r="I249" s="5"/>
      <c r="J249" s="5"/>
      <c r="K249" s="5"/>
      <c r="L249" s="5"/>
      <c r="M249" s="5"/>
      <c r="N249" s="8"/>
      <c r="O249" s="5"/>
      <c r="P249" s="5"/>
      <c r="Q249" s="5"/>
      <c r="R249" s="5" t="s">
        <v>431</v>
      </c>
      <c r="S249" s="48"/>
      <c r="T249" s="48" t="s">
        <v>639</v>
      </c>
      <c r="U249" s="22" t="s">
        <v>63</v>
      </c>
      <c r="V249" s="5"/>
      <c r="W249" s="5"/>
      <c r="X249" s="5" t="s">
        <v>72</v>
      </c>
      <c r="Y249" s="5" t="s">
        <v>72</v>
      </c>
      <c r="Z249" s="5">
        <v>1</v>
      </c>
      <c r="AA249" s="5"/>
      <c r="AB249" s="5" t="s">
        <v>442</v>
      </c>
      <c r="AC249" s="5">
        <v>68</v>
      </c>
      <c r="AD249" s="5" t="s">
        <v>417</v>
      </c>
    </row>
    <row r="250" spans="1:30" s="6" customFormat="1" ht="16" x14ac:dyDescent="0.2">
      <c r="A250" s="13">
        <v>248</v>
      </c>
      <c r="B250" s="5" t="s">
        <v>550</v>
      </c>
      <c r="C250" s="5"/>
      <c r="D250" s="5" t="s">
        <v>438</v>
      </c>
      <c r="E250" s="8" t="s">
        <v>122</v>
      </c>
      <c r="F250" s="8"/>
      <c r="G250" s="5" t="s">
        <v>78</v>
      </c>
      <c r="H250" s="5"/>
      <c r="I250" s="5"/>
      <c r="J250" s="5"/>
      <c r="K250" s="5"/>
      <c r="L250" s="5"/>
      <c r="M250" s="5"/>
      <c r="N250" s="8"/>
      <c r="O250" s="5"/>
      <c r="P250" s="5"/>
      <c r="Q250" s="5"/>
      <c r="R250" s="5" t="s">
        <v>432</v>
      </c>
      <c r="S250" s="48"/>
      <c r="T250" s="48" t="s">
        <v>639</v>
      </c>
      <c r="U250" s="22" t="s">
        <v>63</v>
      </c>
      <c r="V250" s="5"/>
      <c r="W250" s="5"/>
      <c r="X250" s="5" t="s">
        <v>74</v>
      </c>
      <c r="Y250" s="5" t="s">
        <v>74</v>
      </c>
      <c r="Z250" s="5">
        <v>1</v>
      </c>
      <c r="AA250" s="5"/>
      <c r="AB250" s="5" t="s">
        <v>442</v>
      </c>
      <c r="AC250" s="5">
        <v>68</v>
      </c>
      <c r="AD250" s="5" t="s">
        <v>417</v>
      </c>
    </row>
    <row r="251" spans="1:30" s="6" customFormat="1" ht="16" x14ac:dyDescent="0.2">
      <c r="A251" s="13">
        <v>249</v>
      </c>
      <c r="B251" s="5" t="s">
        <v>550</v>
      </c>
      <c r="C251" s="5"/>
      <c r="D251" s="5" t="s">
        <v>438</v>
      </c>
      <c r="E251" s="8" t="s">
        <v>122</v>
      </c>
      <c r="F251" s="8"/>
      <c r="G251" s="5" t="s">
        <v>78</v>
      </c>
      <c r="H251" s="5"/>
      <c r="I251" s="5"/>
      <c r="J251" s="5"/>
      <c r="K251" s="5"/>
      <c r="L251" s="5"/>
      <c r="M251" s="5"/>
      <c r="N251" s="8"/>
      <c r="O251" s="5"/>
      <c r="P251" s="5"/>
      <c r="Q251" s="5"/>
      <c r="R251" s="5" t="s">
        <v>433</v>
      </c>
      <c r="S251" s="48"/>
      <c r="T251" s="48" t="s">
        <v>639</v>
      </c>
      <c r="U251" s="22" t="s">
        <v>63</v>
      </c>
      <c r="V251" s="5"/>
      <c r="W251" s="5"/>
      <c r="X251" s="5" t="s">
        <v>74</v>
      </c>
      <c r="Y251" s="5" t="s">
        <v>74</v>
      </c>
      <c r="Z251" s="5">
        <v>1</v>
      </c>
      <c r="AA251" s="5"/>
      <c r="AB251" s="5" t="s">
        <v>442</v>
      </c>
      <c r="AC251" s="5">
        <v>68</v>
      </c>
      <c r="AD251" s="5" t="s">
        <v>417</v>
      </c>
    </row>
    <row r="252" spans="1:30" s="6" customFormat="1" ht="16" x14ac:dyDescent="0.2">
      <c r="A252" s="13">
        <v>250</v>
      </c>
      <c r="B252" s="5" t="s">
        <v>550</v>
      </c>
      <c r="C252" s="5"/>
      <c r="D252" s="5" t="s">
        <v>438</v>
      </c>
      <c r="E252" s="8" t="s">
        <v>122</v>
      </c>
      <c r="F252" s="8"/>
      <c r="G252" s="5" t="s">
        <v>52</v>
      </c>
      <c r="H252" s="5"/>
      <c r="I252" s="5"/>
      <c r="J252" s="5"/>
      <c r="K252" s="5"/>
      <c r="L252" s="5"/>
      <c r="M252" s="5"/>
      <c r="N252" s="8"/>
      <c r="O252" s="5"/>
      <c r="P252" s="5"/>
      <c r="Q252" s="5"/>
      <c r="R252" s="5" t="s">
        <v>434</v>
      </c>
      <c r="S252" s="48"/>
      <c r="T252" s="48" t="s">
        <v>639</v>
      </c>
      <c r="U252" s="22" t="s">
        <v>63</v>
      </c>
      <c r="V252" s="5"/>
      <c r="W252" s="5"/>
      <c r="X252" s="5" t="s">
        <v>291</v>
      </c>
      <c r="Y252" s="5" t="s">
        <v>291</v>
      </c>
      <c r="Z252" s="5">
        <v>1</v>
      </c>
      <c r="AA252" s="5"/>
      <c r="AB252" s="5" t="s">
        <v>442</v>
      </c>
      <c r="AC252" s="5">
        <v>68</v>
      </c>
      <c r="AD252" s="5" t="s">
        <v>417</v>
      </c>
    </row>
    <row r="253" spans="1:30" s="6" customFormat="1" ht="16" x14ac:dyDescent="0.2">
      <c r="A253" s="13">
        <v>251</v>
      </c>
      <c r="B253" s="5" t="s">
        <v>550</v>
      </c>
      <c r="C253" s="5"/>
      <c r="D253" s="5" t="s">
        <v>438</v>
      </c>
      <c r="E253" s="8" t="s">
        <v>122</v>
      </c>
      <c r="F253" s="8"/>
      <c r="G253" s="5" t="s">
        <v>78</v>
      </c>
      <c r="H253" s="5"/>
      <c r="I253" s="5"/>
      <c r="J253" s="5"/>
      <c r="K253" s="5"/>
      <c r="L253" s="5"/>
      <c r="M253" s="5"/>
      <c r="N253" s="8"/>
      <c r="O253" s="5"/>
      <c r="P253" s="5"/>
      <c r="Q253" s="5"/>
      <c r="R253" s="5" t="s">
        <v>435</v>
      </c>
      <c r="S253" s="48"/>
      <c r="T253" s="48" t="s">
        <v>639</v>
      </c>
      <c r="U253" s="22" t="s">
        <v>63</v>
      </c>
      <c r="V253" s="5"/>
      <c r="W253" s="5"/>
      <c r="X253" s="5" t="s">
        <v>74</v>
      </c>
      <c r="Y253" s="5" t="s">
        <v>74</v>
      </c>
      <c r="Z253" s="5">
        <v>1</v>
      </c>
      <c r="AA253" s="5"/>
      <c r="AB253" s="5" t="s">
        <v>442</v>
      </c>
      <c r="AC253" s="5">
        <v>68</v>
      </c>
      <c r="AD253" s="5" t="s">
        <v>417</v>
      </c>
    </row>
    <row r="254" spans="1:30" s="6" customFormat="1" ht="16" x14ac:dyDescent="0.2">
      <c r="A254" s="13">
        <v>252</v>
      </c>
      <c r="B254" s="5" t="s">
        <v>550</v>
      </c>
      <c r="C254" s="5"/>
      <c r="D254" s="5" t="s">
        <v>438</v>
      </c>
      <c r="E254" s="8" t="s">
        <v>122</v>
      </c>
      <c r="F254" s="8"/>
      <c r="G254" s="5" t="s">
        <v>52</v>
      </c>
      <c r="H254" s="5"/>
      <c r="I254" s="5"/>
      <c r="J254" s="5"/>
      <c r="K254" s="5"/>
      <c r="L254" s="5"/>
      <c r="M254" s="5"/>
      <c r="N254" s="8"/>
      <c r="O254" s="5"/>
      <c r="P254" s="5"/>
      <c r="Q254" s="5"/>
      <c r="R254" s="5" t="s">
        <v>436</v>
      </c>
      <c r="S254" s="48"/>
      <c r="T254" s="48" t="s">
        <v>639</v>
      </c>
      <c r="U254" s="22" t="s">
        <v>63</v>
      </c>
      <c r="V254" s="5"/>
      <c r="W254" s="5"/>
      <c r="X254" s="5" t="s">
        <v>12</v>
      </c>
      <c r="Y254" s="5" t="s">
        <v>12</v>
      </c>
      <c r="Z254" s="5">
        <v>1</v>
      </c>
      <c r="AA254" s="5"/>
      <c r="AB254" s="5" t="s">
        <v>442</v>
      </c>
      <c r="AC254" s="5">
        <v>68</v>
      </c>
      <c r="AD254" s="5" t="s">
        <v>417</v>
      </c>
    </row>
    <row r="255" spans="1:30" s="6" customFormat="1" ht="16" x14ac:dyDescent="0.2">
      <c r="A255" s="13">
        <v>253</v>
      </c>
      <c r="B255" s="5" t="s">
        <v>550</v>
      </c>
      <c r="C255" s="5"/>
      <c r="D255" s="5" t="s">
        <v>438</v>
      </c>
      <c r="E255" s="8" t="s">
        <v>122</v>
      </c>
      <c r="F255" s="8"/>
      <c r="G255" s="5" t="s">
        <v>242</v>
      </c>
      <c r="H255" s="5"/>
      <c r="I255" s="5"/>
      <c r="J255" s="5"/>
      <c r="K255" s="5"/>
      <c r="L255" s="5"/>
      <c r="M255" s="5"/>
      <c r="N255" s="8"/>
      <c r="O255" s="5"/>
      <c r="P255" s="5"/>
      <c r="Q255" s="5"/>
      <c r="R255" s="5" t="s">
        <v>437</v>
      </c>
      <c r="S255" s="48"/>
      <c r="T255" s="48" t="s">
        <v>639</v>
      </c>
      <c r="U255" s="22" t="s">
        <v>63</v>
      </c>
      <c r="V255" s="5"/>
      <c r="W255" s="5"/>
      <c r="X255" s="5" t="s">
        <v>397</v>
      </c>
      <c r="Y255" s="5" t="s">
        <v>397</v>
      </c>
      <c r="Z255" s="5">
        <v>1</v>
      </c>
      <c r="AA255" s="5"/>
      <c r="AB255" s="5" t="s">
        <v>442</v>
      </c>
      <c r="AC255" s="5">
        <v>68</v>
      </c>
      <c r="AD255" s="5" t="s">
        <v>417</v>
      </c>
    </row>
    <row r="256" spans="1:30" s="6" customFormat="1" x14ac:dyDescent="0.2">
      <c r="A256" s="13">
        <v>254</v>
      </c>
      <c r="B256" s="5" t="s">
        <v>550</v>
      </c>
      <c r="C256" s="5"/>
      <c r="D256" s="5" t="s">
        <v>419</v>
      </c>
      <c r="E256" s="5"/>
      <c r="F256" s="5"/>
      <c r="G256" s="5"/>
      <c r="H256" s="5"/>
      <c r="I256" s="5"/>
      <c r="J256" s="5"/>
      <c r="K256" s="5"/>
      <c r="L256" s="5"/>
      <c r="M256" s="5"/>
      <c r="N256" s="8"/>
      <c r="O256" s="5"/>
      <c r="P256" s="5"/>
      <c r="Q256" s="5"/>
      <c r="R256" s="5" t="s">
        <v>445</v>
      </c>
      <c r="S256" s="48" t="s">
        <v>636</v>
      </c>
      <c r="T256" s="48"/>
      <c r="U256" s="22"/>
      <c r="V256" s="5"/>
      <c r="W256" s="5"/>
      <c r="X256" s="5" t="s">
        <v>173</v>
      </c>
      <c r="Y256" s="5" t="s">
        <v>173</v>
      </c>
      <c r="Z256" s="5">
        <v>1</v>
      </c>
      <c r="AA256" s="5"/>
      <c r="AB256" s="5" t="s">
        <v>420</v>
      </c>
      <c r="AC256" s="5">
        <v>68</v>
      </c>
      <c r="AD256" s="5" t="s">
        <v>417</v>
      </c>
    </row>
    <row r="257" spans="1:30" s="6" customFormat="1" x14ac:dyDescent="0.2">
      <c r="A257" s="13">
        <v>255</v>
      </c>
      <c r="B257" s="5" t="s">
        <v>550</v>
      </c>
      <c r="C257" s="5"/>
      <c r="D257" s="5" t="s">
        <v>421</v>
      </c>
      <c r="E257" s="5"/>
      <c r="F257" s="5"/>
      <c r="G257" s="5"/>
      <c r="H257" s="5"/>
      <c r="I257" s="5"/>
      <c r="J257" s="5"/>
      <c r="K257" s="5"/>
      <c r="L257" s="5"/>
      <c r="M257" s="5"/>
      <c r="N257" s="8"/>
      <c r="O257" s="5"/>
      <c r="P257" s="5"/>
      <c r="Q257" s="5"/>
      <c r="R257" s="5" t="s">
        <v>445</v>
      </c>
      <c r="S257" s="48"/>
      <c r="T257" s="48"/>
      <c r="U257" s="22"/>
      <c r="V257" s="5"/>
      <c r="W257" s="5"/>
      <c r="X257" s="5" t="s">
        <v>173</v>
      </c>
      <c r="Y257" s="5" t="s">
        <v>173</v>
      </c>
      <c r="Z257" s="5"/>
      <c r="AA257" s="5"/>
      <c r="AB257" s="5" t="s">
        <v>453</v>
      </c>
      <c r="AC257" s="5">
        <v>68</v>
      </c>
      <c r="AD257" s="5" t="s">
        <v>417</v>
      </c>
    </row>
    <row r="258" spans="1:30" s="6" customFormat="1" ht="16" x14ac:dyDescent="0.2">
      <c r="A258" s="13">
        <v>256</v>
      </c>
      <c r="B258" s="5" t="s">
        <v>550</v>
      </c>
      <c r="C258" s="5"/>
      <c r="D258" s="5"/>
      <c r="E258" s="8" t="s">
        <v>125</v>
      </c>
      <c r="F258" s="5" t="s">
        <v>426</v>
      </c>
      <c r="G258" s="5"/>
      <c r="H258" s="5"/>
      <c r="I258" s="5"/>
      <c r="J258" s="5"/>
      <c r="K258" s="5"/>
      <c r="L258" s="5"/>
      <c r="M258" s="5"/>
      <c r="N258" s="8">
        <v>6</v>
      </c>
      <c r="O258" s="5"/>
      <c r="P258" s="5"/>
      <c r="Q258" s="5"/>
      <c r="R258" s="5" t="s">
        <v>446</v>
      </c>
      <c r="S258" s="48"/>
      <c r="T258" s="48"/>
      <c r="U258" s="22"/>
      <c r="V258" s="5" t="s">
        <v>526</v>
      </c>
      <c r="W258" s="5">
        <v>2</v>
      </c>
      <c r="X258" s="5"/>
      <c r="Y258" s="5" t="s">
        <v>66</v>
      </c>
      <c r="Z258" s="5">
        <v>1</v>
      </c>
      <c r="AA258" s="5"/>
      <c r="AB258" s="5" t="s">
        <v>424</v>
      </c>
      <c r="AC258" s="5">
        <v>68</v>
      </c>
      <c r="AD258" s="5" t="s">
        <v>417</v>
      </c>
    </row>
    <row r="259" spans="1:30" s="6" customFormat="1" ht="16" x14ac:dyDescent="0.2">
      <c r="A259" s="13">
        <v>257</v>
      </c>
      <c r="B259" s="5" t="s">
        <v>550</v>
      </c>
      <c r="C259" s="5"/>
      <c r="D259" s="5"/>
      <c r="E259" s="8" t="s">
        <v>125</v>
      </c>
      <c r="F259" s="5"/>
      <c r="G259" s="5" t="s">
        <v>242</v>
      </c>
      <c r="H259" s="5" t="s">
        <v>63</v>
      </c>
      <c r="I259" s="5" t="s">
        <v>17</v>
      </c>
      <c r="J259" s="5" t="s">
        <v>63</v>
      </c>
      <c r="K259" s="5"/>
      <c r="L259" s="5"/>
      <c r="M259" s="5"/>
      <c r="N259" s="8">
        <v>6</v>
      </c>
      <c r="O259" s="5"/>
      <c r="P259" s="5"/>
      <c r="Q259" s="5"/>
      <c r="R259" s="5" t="s">
        <v>447</v>
      </c>
      <c r="S259" s="48"/>
      <c r="T259" s="48"/>
      <c r="U259" s="22"/>
      <c r="V259" s="5"/>
      <c r="W259" s="5"/>
      <c r="X259" s="5" t="s">
        <v>72</v>
      </c>
      <c r="Y259" s="5" t="s">
        <v>72</v>
      </c>
      <c r="Z259" s="5">
        <v>1</v>
      </c>
      <c r="AA259" s="5"/>
      <c r="AB259" s="5" t="s">
        <v>367</v>
      </c>
      <c r="AC259" s="5">
        <v>68</v>
      </c>
      <c r="AD259" s="5" t="s">
        <v>417</v>
      </c>
    </row>
    <row r="260" spans="1:30" s="6" customFormat="1" ht="16" x14ac:dyDescent="0.2">
      <c r="A260" s="13">
        <v>258</v>
      </c>
      <c r="B260" s="5" t="s">
        <v>550</v>
      </c>
      <c r="C260" s="5"/>
      <c r="D260" s="5"/>
      <c r="E260" s="8" t="s">
        <v>125</v>
      </c>
      <c r="F260" s="5"/>
      <c r="G260" s="5" t="s">
        <v>36</v>
      </c>
      <c r="H260" s="5" t="s">
        <v>63</v>
      </c>
      <c r="I260" s="5" t="s">
        <v>17</v>
      </c>
      <c r="J260" s="5" t="s">
        <v>63</v>
      </c>
      <c r="K260" s="5"/>
      <c r="L260" s="5"/>
      <c r="M260" s="5"/>
      <c r="N260" s="8">
        <v>6</v>
      </c>
      <c r="O260" s="5"/>
      <c r="P260" s="5"/>
      <c r="Q260" s="5"/>
      <c r="R260" s="5" t="s">
        <v>448</v>
      </c>
      <c r="S260" s="48"/>
      <c r="T260" s="48"/>
      <c r="U260" s="22"/>
      <c r="V260" s="5"/>
      <c r="W260" s="5"/>
      <c r="X260" s="5" t="s">
        <v>65</v>
      </c>
      <c r="Y260" s="5" t="s">
        <v>65</v>
      </c>
      <c r="Z260" s="5">
        <v>1</v>
      </c>
      <c r="AA260" s="5"/>
      <c r="AB260" s="5" t="s">
        <v>367</v>
      </c>
      <c r="AC260" s="5">
        <v>68</v>
      </c>
      <c r="AD260" s="5" t="s">
        <v>417</v>
      </c>
    </row>
    <row r="261" spans="1:30" s="6" customFormat="1" ht="16" x14ac:dyDescent="0.2">
      <c r="A261" s="13">
        <v>259</v>
      </c>
      <c r="B261" s="5" t="s">
        <v>550</v>
      </c>
      <c r="C261" s="5"/>
      <c r="D261" s="5"/>
      <c r="E261" s="8" t="s">
        <v>125</v>
      </c>
      <c r="F261" s="5" t="s">
        <v>449</v>
      </c>
      <c r="G261" s="5"/>
      <c r="H261" s="5"/>
      <c r="I261" s="5"/>
      <c r="J261" s="5"/>
      <c r="K261" s="5"/>
      <c r="L261" s="5"/>
      <c r="M261" s="5"/>
      <c r="N261" s="8"/>
      <c r="O261" s="5"/>
      <c r="P261" s="5"/>
      <c r="Q261" s="5"/>
      <c r="R261" s="5" t="s">
        <v>450</v>
      </c>
      <c r="S261" s="48"/>
      <c r="T261" s="48"/>
      <c r="U261" s="22"/>
      <c r="V261" s="5"/>
      <c r="W261" s="5"/>
      <c r="X261" s="5" t="s">
        <v>25</v>
      </c>
      <c r="Y261" s="5" t="s">
        <v>25</v>
      </c>
      <c r="Z261" s="5">
        <v>1</v>
      </c>
      <c r="AA261" s="5"/>
      <c r="AB261" s="5"/>
      <c r="AC261" s="5">
        <v>68</v>
      </c>
      <c r="AD261" s="5" t="s">
        <v>417</v>
      </c>
    </row>
    <row r="262" spans="1:30" s="6" customFormat="1" ht="16" x14ac:dyDescent="0.2">
      <c r="A262" s="13">
        <v>260</v>
      </c>
      <c r="B262" s="5" t="s">
        <v>550</v>
      </c>
      <c r="C262" s="5"/>
      <c r="D262" s="5"/>
      <c r="E262" s="8" t="s">
        <v>125</v>
      </c>
      <c r="F262" s="5" t="s">
        <v>244</v>
      </c>
      <c r="G262" s="5"/>
      <c r="H262" s="5"/>
      <c r="I262" s="5"/>
      <c r="J262" s="5"/>
      <c r="K262" s="5"/>
      <c r="L262" s="5"/>
      <c r="M262" s="5"/>
      <c r="N262" s="8"/>
      <c r="O262" s="5"/>
      <c r="P262" s="5"/>
      <c r="Q262" s="5"/>
      <c r="R262" s="5" t="s">
        <v>451</v>
      </c>
      <c r="S262" s="48"/>
      <c r="T262" s="48"/>
      <c r="U262" s="22"/>
      <c r="V262" s="5"/>
      <c r="W262" s="5"/>
      <c r="X262" s="5" t="s">
        <v>25</v>
      </c>
      <c r="Y262" s="5" t="s">
        <v>25</v>
      </c>
      <c r="Z262" s="5">
        <v>1</v>
      </c>
      <c r="AA262" s="5"/>
      <c r="AB262" s="5"/>
      <c r="AC262" s="5">
        <v>68</v>
      </c>
      <c r="AD262" s="5" t="s">
        <v>417</v>
      </c>
    </row>
    <row r="263" spans="1:30" s="6" customFormat="1" ht="16" x14ac:dyDescent="0.2">
      <c r="A263" s="13">
        <v>261</v>
      </c>
      <c r="B263" s="5" t="s">
        <v>550</v>
      </c>
      <c r="C263" s="5"/>
      <c r="D263" s="5"/>
      <c r="E263" s="8" t="s">
        <v>125</v>
      </c>
      <c r="F263" s="5" t="s">
        <v>243</v>
      </c>
      <c r="G263" s="5"/>
      <c r="H263" s="5"/>
      <c r="I263" s="5"/>
      <c r="J263" s="5"/>
      <c r="K263" s="5"/>
      <c r="L263" s="5"/>
      <c r="M263" s="5"/>
      <c r="N263" s="8"/>
      <c r="O263" s="5"/>
      <c r="P263" s="5"/>
      <c r="Q263" s="5"/>
      <c r="R263" s="5" t="s">
        <v>452</v>
      </c>
      <c r="S263" s="48"/>
      <c r="T263" s="48"/>
      <c r="U263" s="22"/>
      <c r="V263" s="5"/>
      <c r="W263" s="5"/>
      <c r="X263" s="5" t="s">
        <v>25</v>
      </c>
      <c r="Y263" s="5" t="s">
        <v>25</v>
      </c>
      <c r="Z263" s="5">
        <v>1</v>
      </c>
      <c r="AA263" s="5"/>
      <c r="AB263" s="5"/>
      <c r="AC263" s="5">
        <v>68</v>
      </c>
      <c r="AD263" s="5" t="s">
        <v>417</v>
      </c>
    </row>
    <row r="264" spans="1:30" s="6" customFormat="1" x14ac:dyDescent="0.2">
      <c r="A264" s="13">
        <v>262</v>
      </c>
      <c r="B264" s="5" t="s">
        <v>550</v>
      </c>
      <c r="C264" s="5"/>
      <c r="D264" s="5" t="s">
        <v>75</v>
      </c>
      <c r="E264" s="8"/>
      <c r="F264" s="5"/>
      <c r="G264" s="5"/>
      <c r="H264" s="5" t="s">
        <v>63</v>
      </c>
      <c r="I264" s="5"/>
      <c r="J264" s="5"/>
      <c r="K264" s="5"/>
      <c r="L264" s="5"/>
      <c r="M264" s="5"/>
      <c r="N264" s="8"/>
      <c r="O264" s="5"/>
      <c r="P264" s="5"/>
      <c r="Q264" s="5"/>
      <c r="R264" s="5" t="s">
        <v>502</v>
      </c>
      <c r="S264" s="48" t="s">
        <v>645</v>
      </c>
      <c r="T264" s="48"/>
      <c r="U264" s="22"/>
      <c r="V264" s="5" t="s">
        <v>516</v>
      </c>
      <c r="W264" s="5" t="s">
        <v>531</v>
      </c>
      <c r="X264" s="5"/>
      <c r="Y264" s="5" t="s">
        <v>257</v>
      </c>
      <c r="Z264" s="5"/>
      <c r="AA264" s="5"/>
      <c r="AB264" s="5"/>
      <c r="AC264" s="5">
        <v>68</v>
      </c>
      <c r="AD264" s="5" t="s">
        <v>417</v>
      </c>
    </row>
    <row r="265" spans="1:30" s="6" customFormat="1" x14ac:dyDescent="0.2">
      <c r="A265" s="13">
        <v>263</v>
      </c>
      <c r="B265" s="5" t="s">
        <v>550</v>
      </c>
      <c r="C265" s="5"/>
      <c r="D265" s="5" t="s">
        <v>75</v>
      </c>
      <c r="E265" s="5"/>
      <c r="F265" s="5"/>
      <c r="G265" s="5" t="s">
        <v>16</v>
      </c>
      <c r="H265" s="5" t="s">
        <v>63</v>
      </c>
      <c r="I265" s="5"/>
      <c r="J265" s="5"/>
      <c r="K265" s="5"/>
      <c r="L265" s="5"/>
      <c r="M265" s="5"/>
      <c r="N265" s="8"/>
      <c r="O265" s="5"/>
      <c r="P265" s="5"/>
      <c r="Q265" s="5"/>
      <c r="R265" s="5" t="s">
        <v>454</v>
      </c>
      <c r="S265" s="48"/>
      <c r="T265" s="48"/>
      <c r="U265" s="22"/>
      <c r="V265" s="5" t="s">
        <v>516</v>
      </c>
      <c r="W265" s="5" t="s">
        <v>531</v>
      </c>
      <c r="X265" s="5"/>
      <c r="Y265" s="5" t="s">
        <v>40</v>
      </c>
      <c r="Z265" s="5"/>
      <c r="AA265" s="5"/>
      <c r="AB265" s="5"/>
      <c r="AC265" s="5">
        <v>68</v>
      </c>
      <c r="AD265" s="5" t="s">
        <v>417</v>
      </c>
    </row>
    <row r="266" spans="1:30" s="6" customFormat="1" x14ac:dyDescent="0.2">
      <c r="A266" s="13">
        <v>264</v>
      </c>
      <c r="B266" s="5" t="s">
        <v>550</v>
      </c>
      <c r="C266" s="5"/>
      <c r="D266" s="5" t="s">
        <v>75</v>
      </c>
      <c r="E266" s="5"/>
      <c r="F266" s="5"/>
      <c r="G266" s="5" t="s">
        <v>36</v>
      </c>
      <c r="H266" s="5" t="s">
        <v>63</v>
      </c>
      <c r="I266" s="5"/>
      <c r="J266" s="5"/>
      <c r="K266" s="5"/>
      <c r="L266" s="5"/>
      <c r="M266" s="5"/>
      <c r="N266" s="8"/>
      <c r="O266" s="5"/>
      <c r="P266" s="5"/>
      <c r="Q266" s="5"/>
      <c r="R266" s="5" t="s">
        <v>455</v>
      </c>
      <c r="S266" s="48"/>
      <c r="T266" s="48"/>
      <c r="U266" s="22"/>
      <c r="V266" s="5"/>
      <c r="W266" s="5"/>
      <c r="X266" s="5" t="s">
        <v>72</v>
      </c>
      <c r="Y266" s="5" t="s">
        <v>72</v>
      </c>
      <c r="Z266" s="5"/>
      <c r="AA266" s="5"/>
      <c r="AB266" s="5"/>
      <c r="AC266" s="5">
        <v>68</v>
      </c>
      <c r="AD266" s="5" t="s">
        <v>417</v>
      </c>
    </row>
    <row r="267" spans="1:30" s="6" customFormat="1" x14ac:dyDescent="0.2">
      <c r="A267" s="13">
        <v>265</v>
      </c>
      <c r="B267" s="5" t="s">
        <v>550</v>
      </c>
      <c r="C267" s="5"/>
      <c r="D267" s="5" t="s">
        <v>76</v>
      </c>
      <c r="E267" s="5"/>
      <c r="F267" s="5"/>
      <c r="G267" s="5" t="s">
        <v>78</v>
      </c>
      <c r="H267" s="5" t="s">
        <v>77</v>
      </c>
      <c r="I267" s="5"/>
      <c r="J267" s="5"/>
      <c r="K267" s="5"/>
      <c r="L267" s="5"/>
      <c r="M267" s="5"/>
      <c r="N267" s="8"/>
      <c r="O267" s="5"/>
      <c r="P267" s="5"/>
      <c r="Q267" s="5"/>
      <c r="R267" s="5" t="s">
        <v>454</v>
      </c>
      <c r="S267" s="48"/>
      <c r="T267" s="48"/>
      <c r="U267" s="22"/>
      <c r="V267" s="5"/>
      <c r="W267" s="5"/>
      <c r="X267" s="5" t="s">
        <v>74</v>
      </c>
      <c r="Y267" s="5" t="s">
        <v>74</v>
      </c>
      <c r="Z267" s="5"/>
      <c r="AA267" s="5"/>
      <c r="AB267" s="5"/>
      <c r="AC267" s="5">
        <v>68</v>
      </c>
      <c r="AD267" s="5" t="s">
        <v>417</v>
      </c>
    </row>
    <row r="268" spans="1:30" s="6" customFormat="1" x14ac:dyDescent="0.2">
      <c r="A268" s="13">
        <v>266</v>
      </c>
      <c r="B268" s="5" t="s">
        <v>550</v>
      </c>
      <c r="C268" s="5"/>
      <c r="D268" s="5" t="s">
        <v>76</v>
      </c>
      <c r="E268" s="5"/>
      <c r="F268" s="5"/>
      <c r="G268" s="5" t="s">
        <v>17</v>
      </c>
      <c r="H268" s="5" t="s">
        <v>77</v>
      </c>
      <c r="I268" s="5"/>
      <c r="J268" s="5"/>
      <c r="K268" s="5"/>
      <c r="L268" s="5"/>
      <c r="M268" s="5"/>
      <c r="N268" s="8"/>
      <c r="O268" s="5"/>
      <c r="P268" s="5"/>
      <c r="Q268" s="5"/>
      <c r="R268" s="5" t="s">
        <v>456</v>
      </c>
      <c r="S268" s="48"/>
      <c r="T268" s="48"/>
      <c r="U268" s="22"/>
      <c r="V268" s="5" t="s">
        <v>516</v>
      </c>
      <c r="W268" s="5" t="s">
        <v>532</v>
      </c>
      <c r="X268" s="5"/>
      <c r="Y268" s="5" t="s">
        <v>323</v>
      </c>
      <c r="Z268" s="5"/>
      <c r="AA268" s="5"/>
      <c r="AB268" s="5"/>
      <c r="AC268" s="5">
        <v>68</v>
      </c>
      <c r="AD268" s="5" t="s">
        <v>417</v>
      </c>
    </row>
    <row r="269" spans="1:30" s="6" customFormat="1" ht="16" x14ac:dyDescent="0.2">
      <c r="A269" s="13">
        <v>267</v>
      </c>
      <c r="B269" s="5" t="s">
        <v>550</v>
      </c>
      <c r="C269" s="5"/>
      <c r="D269" s="5"/>
      <c r="E269" s="8" t="s">
        <v>125</v>
      </c>
      <c r="F269" s="5" t="s">
        <v>426</v>
      </c>
      <c r="G269" s="5"/>
      <c r="H269" s="5"/>
      <c r="I269" s="5"/>
      <c r="J269" s="5"/>
      <c r="K269" s="5"/>
      <c r="L269" s="5"/>
      <c r="M269" s="5"/>
      <c r="N269" s="8">
        <v>6</v>
      </c>
      <c r="O269" s="5"/>
      <c r="P269" s="5"/>
      <c r="Q269" s="5"/>
      <c r="R269" s="5" t="s">
        <v>457</v>
      </c>
      <c r="S269" s="48"/>
      <c r="T269" s="48"/>
      <c r="U269" s="22"/>
      <c r="V269" s="5" t="s">
        <v>526</v>
      </c>
      <c r="W269" s="5">
        <v>3</v>
      </c>
      <c r="X269" s="5"/>
      <c r="Y269" s="5" t="s">
        <v>323</v>
      </c>
      <c r="Z269" s="5">
        <v>1</v>
      </c>
      <c r="AA269" s="5"/>
      <c r="AB269" s="5"/>
      <c r="AC269" s="5">
        <v>69</v>
      </c>
      <c r="AD269" s="5" t="s">
        <v>417</v>
      </c>
    </row>
    <row r="270" spans="1:30" s="6" customFormat="1" ht="16" x14ac:dyDescent="0.2">
      <c r="A270" s="13">
        <v>268</v>
      </c>
      <c r="B270" s="5" t="s">
        <v>550</v>
      </c>
      <c r="C270" s="5"/>
      <c r="D270" s="5"/>
      <c r="E270" s="8" t="s">
        <v>125</v>
      </c>
      <c r="F270" s="5" t="s">
        <v>449</v>
      </c>
      <c r="G270" s="5"/>
      <c r="H270" s="5"/>
      <c r="I270" s="5"/>
      <c r="J270" s="5"/>
      <c r="K270" s="5"/>
      <c r="L270" s="5"/>
      <c r="M270" s="5"/>
      <c r="N270" s="8">
        <v>6</v>
      </c>
      <c r="O270" s="5"/>
      <c r="P270" s="5"/>
      <c r="Q270" s="5"/>
      <c r="R270" s="5" t="s">
        <v>456</v>
      </c>
      <c r="S270" s="48"/>
      <c r="T270" s="48"/>
      <c r="U270" s="22"/>
      <c r="V270" s="5"/>
      <c r="W270" s="5"/>
      <c r="X270" s="5" t="s">
        <v>25</v>
      </c>
      <c r="Y270" s="5" t="s">
        <v>25</v>
      </c>
      <c r="Z270" s="5">
        <v>1</v>
      </c>
      <c r="AA270" s="5"/>
      <c r="AB270" s="5"/>
      <c r="AC270" s="5">
        <v>69</v>
      </c>
      <c r="AD270" s="5" t="s">
        <v>417</v>
      </c>
    </row>
    <row r="271" spans="1:30" s="6" customFormat="1" ht="16" x14ac:dyDescent="0.2">
      <c r="A271" s="13">
        <v>269</v>
      </c>
      <c r="B271" s="5" t="s">
        <v>550</v>
      </c>
      <c r="C271" s="5"/>
      <c r="D271" s="5"/>
      <c r="E271" s="8" t="s">
        <v>125</v>
      </c>
      <c r="F271" s="5" t="s">
        <v>71</v>
      </c>
      <c r="G271" s="5"/>
      <c r="H271" s="5"/>
      <c r="I271" s="5"/>
      <c r="J271" s="5"/>
      <c r="K271" s="5"/>
      <c r="L271" s="5"/>
      <c r="M271" s="5"/>
      <c r="N271" s="8">
        <v>6</v>
      </c>
      <c r="O271" s="5"/>
      <c r="P271" s="5"/>
      <c r="Q271" s="5"/>
      <c r="R271" s="5" t="s">
        <v>455</v>
      </c>
      <c r="S271" s="48"/>
      <c r="T271" s="48"/>
      <c r="U271" s="22"/>
      <c r="V271" s="5"/>
      <c r="W271" s="5"/>
      <c r="X271" s="5" t="s">
        <v>397</v>
      </c>
      <c r="Y271" s="5" t="s">
        <v>397</v>
      </c>
      <c r="Z271" s="5">
        <v>1</v>
      </c>
      <c r="AA271" s="5"/>
      <c r="AB271" s="5"/>
      <c r="AC271" s="5">
        <v>69</v>
      </c>
      <c r="AD271" s="5" t="s">
        <v>417</v>
      </c>
    </row>
    <row r="272" spans="1:30" s="6" customFormat="1" ht="16" x14ac:dyDescent="0.2">
      <c r="A272" s="13">
        <v>270</v>
      </c>
      <c r="B272" s="5" t="s">
        <v>550</v>
      </c>
      <c r="C272" s="5"/>
      <c r="D272" s="5"/>
      <c r="E272" s="8" t="s">
        <v>125</v>
      </c>
      <c r="F272" s="5" t="s">
        <v>245</v>
      </c>
      <c r="G272" s="5"/>
      <c r="H272" s="5"/>
      <c r="I272" s="5"/>
      <c r="J272" s="5"/>
      <c r="K272" s="5"/>
      <c r="L272" s="5"/>
      <c r="M272" s="5"/>
      <c r="N272" s="8">
        <v>6</v>
      </c>
      <c r="O272" s="5"/>
      <c r="P272" s="5"/>
      <c r="Q272" s="5"/>
      <c r="R272" s="5" t="s">
        <v>458</v>
      </c>
      <c r="S272" s="48"/>
      <c r="T272" s="48"/>
      <c r="U272" s="22"/>
      <c r="V272" s="5"/>
      <c r="W272" s="5"/>
      <c r="X272" s="5" t="s">
        <v>62</v>
      </c>
      <c r="Y272" s="5" t="s">
        <v>62</v>
      </c>
      <c r="Z272" s="5">
        <v>1</v>
      </c>
      <c r="AA272" s="5"/>
      <c r="AB272" s="5"/>
      <c r="AC272" s="5">
        <v>69</v>
      </c>
      <c r="AD272" s="5" t="s">
        <v>417</v>
      </c>
    </row>
    <row r="273" spans="1:30" s="6" customFormat="1" ht="16" x14ac:dyDescent="0.2">
      <c r="A273" s="13">
        <v>271</v>
      </c>
      <c r="B273" s="5" t="s">
        <v>550</v>
      </c>
      <c r="C273" s="5"/>
      <c r="D273" s="5"/>
      <c r="E273" s="8" t="s">
        <v>125</v>
      </c>
      <c r="F273" s="5" t="s">
        <v>73</v>
      </c>
      <c r="G273" s="5"/>
      <c r="H273" s="5"/>
      <c r="I273" s="5"/>
      <c r="J273" s="5"/>
      <c r="K273" s="5"/>
      <c r="L273" s="5"/>
      <c r="M273" s="5"/>
      <c r="N273" s="8">
        <v>6</v>
      </c>
      <c r="O273" s="5"/>
      <c r="P273" s="5"/>
      <c r="Q273" s="5"/>
      <c r="R273" s="5" t="s">
        <v>455</v>
      </c>
      <c r="S273" s="48"/>
      <c r="T273" s="48"/>
      <c r="U273" s="22"/>
      <c r="V273" s="5"/>
      <c r="W273" s="5"/>
      <c r="X273" s="5" t="s">
        <v>58</v>
      </c>
      <c r="Y273" s="5" t="s">
        <v>58</v>
      </c>
      <c r="Z273" s="5">
        <v>1</v>
      </c>
      <c r="AA273" s="5"/>
      <c r="AB273" s="5"/>
      <c r="AC273" s="5">
        <v>69</v>
      </c>
      <c r="AD273" s="5" t="s">
        <v>417</v>
      </c>
    </row>
    <row r="274" spans="1:30" s="6" customFormat="1" ht="16" x14ac:dyDescent="0.2">
      <c r="A274" s="13">
        <v>272</v>
      </c>
      <c r="B274" s="5" t="s">
        <v>550</v>
      </c>
      <c r="C274" s="5"/>
      <c r="D274" s="5"/>
      <c r="E274" s="8" t="s">
        <v>125</v>
      </c>
      <c r="F274" s="5" t="s">
        <v>246</v>
      </c>
      <c r="G274" s="5"/>
      <c r="H274" s="5"/>
      <c r="I274" s="5"/>
      <c r="J274" s="5"/>
      <c r="K274" s="5"/>
      <c r="L274" s="5"/>
      <c r="M274" s="5"/>
      <c r="N274" s="8">
        <v>6</v>
      </c>
      <c r="O274" s="5"/>
      <c r="P274" s="5"/>
      <c r="Q274" s="5"/>
      <c r="R274" s="5" t="s">
        <v>458</v>
      </c>
      <c r="S274" s="48"/>
      <c r="T274" s="48"/>
      <c r="U274" s="22"/>
      <c r="V274" s="5"/>
      <c r="W274" s="5"/>
      <c r="X274" s="5" t="s">
        <v>58</v>
      </c>
      <c r="Y274" s="5" t="s">
        <v>58</v>
      </c>
      <c r="Z274" s="5">
        <v>1</v>
      </c>
      <c r="AA274" s="5"/>
      <c r="AB274" s="5"/>
      <c r="AC274" s="5">
        <v>69</v>
      </c>
      <c r="AD274" s="5" t="s">
        <v>417</v>
      </c>
    </row>
    <row r="275" spans="1:30" ht="16" x14ac:dyDescent="0.2">
      <c r="A275" s="13">
        <v>273</v>
      </c>
      <c r="B275" s="5" t="s">
        <v>600</v>
      </c>
      <c r="C275" s="1" t="s">
        <v>601</v>
      </c>
      <c r="D275" s="1" t="s">
        <v>578</v>
      </c>
      <c r="E275" s="8" t="s">
        <v>125</v>
      </c>
      <c r="F275" s="5" t="s">
        <v>426</v>
      </c>
      <c r="R275" s="5" t="s">
        <v>337</v>
      </c>
      <c r="S275" s="38"/>
      <c r="T275" s="38"/>
      <c r="U275" s="47"/>
      <c r="X275" s="1" t="s">
        <v>65</v>
      </c>
      <c r="AB275" s="1" t="s">
        <v>576</v>
      </c>
      <c r="AC275" s="5">
        <v>26</v>
      </c>
      <c r="AD275" s="5" t="s">
        <v>552</v>
      </c>
    </row>
    <row r="276" spans="1:30" ht="16" x14ac:dyDescent="0.2">
      <c r="A276" s="13">
        <v>274</v>
      </c>
      <c r="B276" s="5" t="s">
        <v>600</v>
      </c>
      <c r="C276" s="1" t="s">
        <v>601</v>
      </c>
      <c r="D276" s="1" t="s">
        <v>577</v>
      </c>
      <c r="E276" s="8" t="s">
        <v>125</v>
      </c>
      <c r="F276" s="5" t="s">
        <v>426</v>
      </c>
      <c r="R276" s="5" t="s">
        <v>337</v>
      </c>
      <c r="S276" s="38"/>
      <c r="T276" s="38"/>
      <c r="U276" s="47"/>
      <c r="X276" s="1" t="s">
        <v>12</v>
      </c>
      <c r="AB276" s="1" t="s">
        <v>576</v>
      </c>
      <c r="AC276" s="5">
        <v>26</v>
      </c>
      <c r="AD276" s="5" t="s">
        <v>552</v>
      </c>
    </row>
    <row r="277" spans="1:30" ht="16" x14ac:dyDescent="0.2">
      <c r="A277" s="13">
        <v>275</v>
      </c>
      <c r="B277" s="5" t="s">
        <v>600</v>
      </c>
      <c r="C277" s="1" t="s">
        <v>601</v>
      </c>
      <c r="D277" s="1" t="s">
        <v>579</v>
      </c>
      <c r="E277" s="8" t="s">
        <v>125</v>
      </c>
      <c r="F277" s="5" t="s">
        <v>426</v>
      </c>
      <c r="R277" s="5" t="s">
        <v>337</v>
      </c>
      <c r="S277" s="38"/>
      <c r="T277" s="38"/>
      <c r="U277" s="47"/>
      <c r="X277" s="1" t="s">
        <v>60</v>
      </c>
      <c r="AB277" s="1" t="s">
        <v>576</v>
      </c>
      <c r="AC277" s="5">
        <v>26</v>
      </c>
      <c r="AD277" s="5" t="s">
        <v>552</v>
      </c>
    </row>
    <row r="278" spans="1:30" ht="16" x14ac:dyDescent="0.2">
      <c r="A278" s="13">
        <v>276</v>
      </c>
      <c r="B278" s="5" t="s">
        <v>600</v>
      </c>
      <c r="C278" s="1" t="s">
        <v>601</v>
      </c>
      <c r="D278" s="1" t="s">
        <v>580</v>
      </c>
      <c r="E278" s="8" t="s">
        <v>125</v>
      </c>
      <c r="F278" s="5" t="s">
        <v>426</v>
      </c>
      <c r="R278" s="5" t="s">
        <v>337</v>
      </c>
      <c r="S278" s="38"/>
      <c r="T278" s="38"/>
      <c r="U278" s="47"/>
      <c r="X278" s="1" t="s">
        <v>65</v>
      </c>
      <c r="AB278" s="1" t="s">
        <v>576</v>
      </c>
      <c r="AC278" s="5">
        <v>26</v>
      </c>
      <c r="AD278" s="5" t="s">
        <v>552</v>
      </c>
    </row>
    <row r="279" spans="1:30" s="6" customFormat="1" ht="16" x14ac:dyDescent="0.2">
      <c r="A279" s="13">
        <v>277</v>
      </c>
      <c r="B279" s="5" t="s">
        <v>600</v>
      </c>
      <c r="C279" s="5" t="s">
        <v>602</v>
      </c>
      <c r="D279" s="5" t="s">
        <v>322</v>
      </c>
      <c r="E279" s="8" t="s">
        <v>378</v>
      </c>
      <c r="F279" s="5"/>
      <c r="G279" s="5" t="s">
        <v>16</v>
      </c>
      <c r="H279" s="5">
        <v>5</v>
      </c>
      <c r="I279" s="5"/>
      <c r="J279" s="5"/>
      <c r="K279" s="5"/>
      <c r="L279" s="5"/>
      <c r="M279" s="5"/>
      <c r="N279" s="8"/>
      <c r="O279" s="5"/>
      <c r="P279" s="5"/>
      <c r="Q279" s="5"/>
      <c r="R279" s="5" t="s">
        <v>337</v>
      </c>
      <c r="S279" s="48"/>
      <c r="T279" s="48"/>
      <c r="U279" s="22"/>
      <c r="V279" s="5"/>
      <c r="W279" s="5"/>
      <c r="X279" s="5" t="s">
        <v>19</v>
      </c>
      <c r="Y279" s="5" t="s">
        <v>19</v>
      </c>
      <c r="Z279" s="5">
        <v>1</v>
      </c>
      <c r="AA279" s="5"/>
      <c r="AB279" s="5"/>
      <c r="AC279" s="5">
        <v>25</v>
      </c>
      <c r="AD279" s="5" t="s">
        <v>412</v>
      </c>
    </row>
    <row r="280" spans="1:30" s="6" customFormat="1" x14ac:dyDescent="0.2">
      <c r="A280" s="13">
        <v>278</v>
      </c>
      <c r="B280" s="5" t="s">
        <v>600</v>
      </c>
      <c r="C280" s="5" t="s">
        <v>602</v>
      </c>
      <c r="D280" s="5" t="s">
        <v>80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 t="s">
        <v>337</v>
      </c>
      <c r="S280" s="48" t="s">
        <v>150</v>
      </c>
      <c r="T280" s="48"/>
      <c r="U280" s="22"/>
      <c r="V280" s="5"/>
      <c r="W280" s="5"/>
      <c r="X280" s="5" t="s">
        <v>19</v>
      </c>
      <c r="Y280" s="5" t="s">
        <v>19</v>
      </c>
      <c r="Z280" s="5">
        <v>1</v>
      </c>
      <c r="AA280" s="5"/>
      <c r="AB280" s="5" t="s">
        <v>82</v>
      </c>
      <c r="AC280" s="5">
        <v>25</v>
      </c>
      <c r="AD280" s="5" t="s">
        <v>412</v>
      </c>
    </row>
    <row r="281" spans="1:30" s="6" customFormat="1" x14ac:dyDescent="0.2">
      <c r="A281" s="13">
        <v>279</v>
      </c>
      <c r="B281" s="5" t="s">
        <v>600</v>
      </c>
      <c r="C281" s="5" t="s">
        <v>600</v>
      </c>
      <c r="D281" s="5" t="s">
        <v>57</v>
      </c>
      <c r="E281" s="5" t="s">
        <v>497</v>
      </c>
      <c r="F281" s="5"/>
      <c r="G281" s="5" t="s">
        <v>17</v>
      </c>
      <c r="H281" s="5">
        <v>5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48"/>
      <c r="T281" s="48"/>
      <c r="U281" s="22"/>
      <c r="V281" s="5"/>
      <c r="W281" s="5"/>
      <c r="X281" s="5" t="s">
        <v>25</v>
      </c>
      <c r="Y281" s="5" t="s">
        <v>25</v>
      </c>
      <c r="Z281" s="5"/>
      <c r="AA281" s="5"/>
      <c r="AB281" s="5"/>
      <c r="AC281" s="5">
        <v>24</v>
      </c>
      <c r="AD281" s="5" t="s">
        <v>556</v>
      </c>
    </row>
    <row r="282" spans="1:30" s="6" customFormat="1" x14ac:dyDescent="0.2">
      <c r="A282" s="13">
        <v>280</v>
      </c>
      <c r="B282" s="5" t="s">
        <v>600</v>
      </c>
      <c r="C282" s="5" t="s">
        <v>608</v>
      </c>
      <c r="D282" s="5" t="s">
        <v>554</v>
      </c>
      <c r="E282" s="5" t="s">
        <v>497</v>
      </c>
      <c r="F282" s="5"/>
      <c r="G282" s="5" t="s">
        <v>17</v>
      </c>
      <c r="H282" s="5">
        <v>5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48"/>
      <c r="T282" s="48"/>
      <c r="U282" s="22"/>
      <c r="V282" s="5"/>
      <c r="W282" s="5"/>
      <c r="X282" s="5" t="s">
        <v>44</v>
      </c>
      <c r="Y282" s="5" t="s">
        <v>44</v>
      </c>
      <c r="Z282" s="5"/>
      <c r="AA282" s="5" t="s">
        <v>177</v>
      </c>
      <c r="AB282" s="5"/>
      <c r="AC282" s="5">
        <v>24</v>
      </c>
      <c r="AD282" s="5" t="s">
        <v>556</v>
      </c>
    </row>
    <row r="283" spans="1:30" s="6" customFormat="1" x14ac:dyDescent="0.2">
      <c r="A283" s="13">
        <v>281</v>
      </c>
      <c r="B283" s="5" t="s">
        <v>600</v>
      </c>
      <c r="C283" s="5" t="s">
        <v>600</v>
      </c>
      <c r="D283" s="1" t="s">
        <v>85</v>
      </c>
      <c r="E283" s="5" t="s">
        <v>124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48"/>
      <c r="T283" s="48"/>
      <c r="U283" s="22"/>
      <c r="V283" s="5"/>
      <c r="W283" s="5"/>
      <c r="X283" s="1" t="s">
        <v>25</v>
      </c>
      <c r="Y283" s="1" t="s">
        <v>25</v>
      </c>
      <c r="Z283" s="5"/>
      <c r="AA283" s="5"/>
      <c r="AB283" s="5" t="s">
        <v>86</v>
      </c>
      <c r="AC283" s="5">
        <v>24</v>
      </c>
      <c r="AD283" s="5" t="s">
        <v>556</v>
      </c>
    </row>
    <row r="284" spans="1:30" s="6" customFormat="1" x14ac:dyDescent="0.2">
      <c r="A284" s="13">
        <v>282</v>
      </c>
      <c r="B284" s="5" t="s">
        <v>600</v>
      </c>
      <c r="C284" s="5" t="s">
        <v>608</v>
      </c>
      <c r="D284" s="1" t="s">
        <v>87</v>
      </c>
      <c r="E284" s="5" t="s">
        <v>124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48"/>
      <c r="T284" s="48"/>
      <c r="U284" s="22"/>
      <c r="V284" s="5"/>
      <c r="W284" s="5"/>
      <c r="X284" s="1" t="s">
        <v>44</v>
      </c>
      <c r="Y284" s="1" t="s">
        <v>44</v>
      </c>
      <c r="Z284" s="5"/>
      <c r="AA284" s="5" t="s">
        <v>177</v>
      </c>
      <c r="AB284" s="5"/>
      <c r="AC284" s="5">
        <v>24</v>
      </c>
      <c r="AD284" s="5" t="s">
        <v>556</v>
      </c>
    </row>
    <row r="285" spans="1:30" s="6" customFormat="1" x14ac:dyDescent="0.2">
      <c r="A285" s="13">
        <v>283</v>
      </c>
      <c r="B285" s="5" t="s">
        <v>600</v>
      </c>
      <c r="C285" s="5" t="s">
        <v>600</v>
      </c>
      <c r="D285" s="1" t="s">
        <v>88</v>
      </c>
      <c r="E285" s="5" t="s">
        <v>124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48"/>
      <c r="T285" s="48"/>
      <c r="U285" s="22"/>
      <c r="V285" s="5"/>
      <c r="W285" s="5"/>
      <c r="X285" s="1" t="s">
        <v>89</v>
      </c>
      <c r="Y285" s="1" t="s">
        <v>89</v>
      </c>
      <c r="Z285" s="5"/>
      <c r="AA285" s="5"/>
      <c r="AB285" s="5" t="s">
        <v>90</v>
      </c>
      <c r="AC285" s="5">
        <v>24</v>
      </c>
      <c r="AD285" s="5" t="s">
        <v>556</v>
      </c>
    </row>
    <row r="286" spans="1:30" s="6" customFormat="1" x14ac:dyDescent="0.2">
      <c r="A286" s="13">
        <v>284</v>
      </c>
      <c r="B286" s="5" t="s">
        <v>600</v>
      </c>
      <c r="C286" s="5" t="s">
        <v>608</v>
      </c>
      <c r="D286" s="1" t="s">
        <v>91</v>
      </c>
      <c r="E286" s="5" t="s">
        <v>124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48"/>
      <c r="T286" s="48"/>
      <c r="U286" s="22"/>
      <c r="V286" s="5"/>
      <c r="W286" s="5"/>
      <c r="X286" s="1" t="s">
        <v>92</v>
      </c>
      <c r="Y286" s="1" t="s">
        <v>92</v>
      </c>
      <c r="Z286" s="5"/>
      <c r="AA286" s="5" t="s">
        <v>177</v>
      </c>
      <c r="AB286" s="5"/>
      <c r="AC286" s="5">
        <v>24</v>
      </c>
      <c r="AD286" s="5" t="s">
        <v>556</v>
      </c>
    </row>
    <row r="287" spans="1:30" s="6" customFormat="1" x14ac:dyDescent="0.2">
      <c r="A287" s="13">
        <v>285</v>
      </c>
      <c r="B287" s="5" t="s">
        <v>600</v>
      </c>
      <c r="C287" s="5" t="s">
        <v>600</v>
      </c>
      <c r="D287" s="1" t="s">
        <v>93</v>
      </c>
      <c r="E287" s="5" t="s">
        <v>124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48"/>
      <c r="T287" s="48"/>
      <c r="U287" s="22"/>
      <c r="V287" s="5"/>
      <c r="W287" s="5"/>
      <c r="X287" s="1" t="s">
        <v>94</v>
      </c>
      <c r="Y287" s="1" t="s">
        <v>94</v>
      </c>
      <c r="Z287" s="5"/>
      <c r="AA287" s="5"/>
      <c r="AB287" s="5" t="s">
        <v>95</v>
      </c>
      <c r="AC287" s="5">
        <v>24</v>
      </c>
      <c r="AD287" s="5" t="s">
        <v>556</v>
      </c>
    </row>
    <row r="288" spans="1:30" s="6" customFormat="1" x14ac:dyDescent="0.2">
      <c r="A288" s="13">
        <v>286</v>
      </c>
      <c r="B288" s="5" t="s">
        <v>600</v>
      </c>
      <c r="C288" s="5" t="s">
        <v>608</v>
      </c>
      <c r="D288" s="1" t="s">
        <v>96</v>
      </c>
      <c r="E288" s="5" t="s">
        <v>124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48"/>
      <c r="T288" s="48"/>
      <c r="U288" s="22"/>
      <c r="V288" s="5"/>
      <c r="W288" s="5"/>
      <c r="X288" s="1" t="s">
        <v>97</v>
      </c>
      <c r="Y288" s="1" t="s">
        <v>97</v>
      </c>
      <c r="Z288" s="5"/>
      <c r="AA288" s="5" t="s">
        <v>177</v>
      </c>
      <c r="AB288" s="5"/>
      <c r="AC288" s="5">
        <v>24</v>
      </c>
      <c r="AD288" s="5" t="s">
        <v>556</v>
      </c>
    </row>
    <row r="289" spans="1:30" s="6" customFormat="1" x14ac:dyDescent="0.2">
      <c r="A289" s="13">
        <v>287</v>
      </c>
      <c r="B289" s="5" t="s">
        <v>600</v>
      </c>
      <c r="C289" s="5" t="s">
        <v>600</v>
      </c>
      <c r="D289" s="1" t="s">
        <v>606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 t="s">
        <v>603</v>
      </c>
      <c r="S289" s="48"/>
      <c r="T289" s="48"/>
      <c r="U289" s="22"/>
      <c r="V289" s="5"/>
      <c r="W289" s="5"/>
      <c r="X289" s="1" t="s">
        <v>177</v>
      </c>
      <c r="Y289" s="1" t="s">
        <v>177</v>
      </c>
      <c r="Z289" s="5"/>
      <c r="AA289" s="5"/>
      <c r="AB289" s="5"/>
      <c r="AC289" s="5">
        <v>0</v>
      </c>
      <c r="AD289" s="5" t="s">
        <v>607</v>
      </c>
    </row>
    <row r="290" spans="1:30" s="6" customFormat="1" x14ac:dyDescent="0.2">
      <c r="A290" s="13">
        <v>288</v>
      </c>
      <c r="B290" s="5" t="s">
        <v>600</v>
      </c>
      <c r="C290" s="5" t="s">
        <v>608</v>
      </c>
      <c r="D290" s="1" t="s">
        <v>555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 t="s">
        <v>603</v>
      </c>
      <c r="S290" s="48"/>
      <c r="T290" s="48"/>
      <c r="U290" s="22"/>
      <c r="V290" s="5"/>
      <c r="W290" s="5"/>
      <c r="X290" s="1" t="s">
        <v>44</v>
      </c>
      <c r="Y290" s="1" t="s">
        <v>44</v>
      </c>
      <c r="Z290" s="5"/>
      <c r="AA290" s="5" t="s">
        <v>177</v>
      </c>
      <c r="AB290" s="5"/>
      <c r="AC290" s="5">
        <v>0</v>
      </c>
      <c r="AD290" s="5" t="s">
        <v>607</v>
      </c>
    </row>
    <row r="291" spans="1:30" s="6" customFormat="1" x14ac:dyDescent="0.2">
      <c r="A291" s="13">
        <v>289</v>
      </c>
      <c r="B291" s="5" t="s">
        <v>600</v>
      </c>
      <c r="C291" s="5" t="s">
        <v>600</v>
      </c>
      <c r="D291" s="1" t="s">
        <v>606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 t="s">
        <v>604</v>
      </c>
      <c r="S291" s="48"/>
      <c r="T291" s="48"/>
      <c r="U291" s="22"/>
      <c r="V291" s="5"/>
      <c r="W291" s="5"/>
      <c r="X291" s="1" t="s">
        <v>177</v>
      </c>
      <c r="Y291" s="1" t="s">
        <v>177</v>
      </c>
      <c r="Z291" s="5"/>
      <c r="AA291" s="5"/>
      <c r="AB291" s="5"/>
      <c r="AC291" s="5">
        <v>0</v>
      </c>
      <c r="AD291" s="5" t="s">
        <v>607</v>
      </c>
    </row>
    <row r="292" spans="1:30" s="6" customFormat="1" x14ac:dyDescent="0.2">
      <c r="A292" s="13">
        <v>290</v>
      </c>
      <c r="B292" s="5" t="s">
        <v>600</v>
      </c>
      <c r="C292" s="5" t="s">
        <v>608</v>
      </c>
      <c r="D292" s="1" t="s">
        <v>555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 t="s">
        <v>604</v>
      </c>
      <c r="S292" s="48"/>
      <c r="T292" s="48"/>
      <c r="U292" s="22"/>
      <c r="V292" s="5"/>
      <c r="W292" s="5"/>
      <c r="X292" s="1" t="s">
        <v>92</v>
      </c>
      <c r="Y292" s="1" t="s">
        <v>92</v>
      </c>
      <c r="Z292" s="5"/>
      <c r="AA292" s="5" t="s">
        <v>177</v>
      </c>
      <c r="AB292" s="5"/>
      <c r="AC292" s="5">
        <v>0</v>
      </c>
      <c r="AD292" s="5" t="s">
        <v>607</v>
      </c>
    </row>
    <row r="293" spans="1:30" s="6" customFormat="1" x14ac:dyDescent="0.2">
      <c r="A293" s="13">
        <v>291</v>
      </c>
      <c r="B293" s="5" t="s">
        <v>600</v>
      </c>
      <c r="C293" s="5" t="s">
        <v>600</v>
      </c>
      <c r="D293" s="1" t="s">
        <v>606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 t="s">
        <v>605</v>
      </c>
      <c r="S293" s="48"/>
      <c r="T293" s="48"/>
      <c r="U293" s="22"/>
      <c r="V293" s="5"/>
      <c r="W293" s="5"/>
      <c r="X293" s="1" t="s">
        <v>177</v>
      </c>
      <c r="Y293" s="1" t="s">
        <v>177</v>
      </c>
      <c r="Z293" s="5"/>
      <c r="AA293" s="5"/>
      <c r="AB293" s="5"/>
      <c r="AC293" s="5">
        <v>0</v>
      </c>
      <c r="AD293" s="5" t="s">
        <v>607</v>
      </c>
    </row>
    <row r="294" spans="1:30" s="6" customFormat="1" x14ac:dyDescent="0.2">
      <c r="A294" s="13">
        <v>292</v>
      </c>
      <c r="B294" s="5" t="s">
        <v>600</v>
      </c>
      <c r="C294" s="5" t="s">
        <v>608</v>
      </c>
      <c r="D294" s="1" t="s">
        <v>555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 t="s">
        <v>605</v>
      </c>
      <c r="S294" s="48"/>
      <c r="T294" s="48"/>
      <c r="U294" s="22"/>
      <c r="V294" s="5"/>
      <c r="W294" s="5"/>
      <c r="X294" s="1" t="s">
        <v>97</v>
      </c>
      <c r="Y294" s="1" t="s">
        <v>97</v>
      </c>
      <c r="Z294" s="5"/>
      <c r="AA294" s="5" t="s">
        <v>177</v>
      </c>
      <c r="AB294" s="5"/>
      <c r="AC294" s="5">
        <v>0</v>
      </c>
      <c r="AD294" s="5" t="s">
        <v>607</v>
      </c>
    </row>
    <row r="295" spans="1:30" s="6" customFormat="1" x14ac:dyDescent="0.2">
      <c r="A295" s="13">
        <v>293</v>
      </c>
      <c r="B295" s="5" t="s">
        <v>600</v>
      </c>
      <c r="C295" s="5" t="s">
        <v>601</v>
      </c>
      <c r="D295" s="5"/>
      <c r="E295" s="5"/>
      <c r="F295" s="5"/>
      <c r="G295" s="5" t="s">
        <v>242</v>
      </c>
      <c r="H295" s="5" t="s">
        <v>63</v>
      </c>
      <c r="I295" s="5"/>
      <c r="J295" s="5"/>
      <c r="K295" s="5"/>
      <c r="L295" s="5"/>
      <c r="M295" s="5"/>
      <c r="N295" s="5"/>
      <c r="O295" s="5"/>
      <c r="P295" s="5"/>
      <c r="Q295" s="5"/>
      <c r="R295" s="5" t="s">
        <v>337</v>
      </c>
      <c r="S295" s="48"/>
      <c r="T295" s="48"/>
      <c r="U295" s="22"/>
      <c r="V295" s="5"/>
      <c r="W295" s="5"/>
      <c r="X295" s="5" t="s">
        <v>12</v>
      </c>
      <c r="Y295" s="5" t="s">
        <v>12</v>
      </c>
      <c r="Z295" s="5">
        <v>1</v>
      </c>
      <c r="AA295" s="5"/>
      <c r="AB295" s="5" t="s">
        <v>409</v>
      </c>
      <c r="AC295" s="5">
        <v>26</v>
      </c>
      <c r="AD295" s="5" t="s">
        <v>552</v>
      </c>
    </row>
    <row r="296" spans="1:30" s="6" customFormat="1" x14ac:dyDescent="0.2">
      <c r="A296" s="13">
        <v>294</v>
      </c>
      <c r="B296" s="5" t="s">
        <v>600</v>
      </c>
      <c r="C296" s="5" t="s">
        <v>601</v>
      </c>
      <c r="D296" s="5"/>
      <c r="E296" s="5"/>
      <c r="F296" s="5"/>
      <c r="G296" s="5" t="s">
        <v>36</v>
      </c>
      <c r="H296" s="5" t="s">
        <v>63</v>
      </c>
      <c r="I296" s="5"/>
      <c r="J296" s="5"/>
      <c r="K296" s="5"/>
      <c r="L296" s="5"/>
      <c r="M296" s="5"/>
      <c r="N296" s="5"/>
      <c r="O296" s="5"/>
      <c r="P296" s="5"/>
      <c r="Q296" s="5"/>
      <c r="R296" s="5" t="s">
        <v>337</v>
      </c>
      <c r="S296" s="48"/>
      <c r="T296" s="48"/>
      <c r="U296" s="22"/>
      <c r="V296" s="5"/>
      <c r="W296" s="5"/>
      <c r="X296" s="5" t="s">
        <v>65</v>
      </c>
      <c r="Y296" s="5" t="s">
        <v>65</v>
      </c>
      <c r="Z296" s="5">
        <v>1</v>
      </c>
      <c r="AA296" s="5"/>
      <c r="AB296" s="5" t="s">
        <v>409</v>
      </c>
      <c r="AC296" s="5">
        <v>26</v>
      </c>
      <c r="AD296" s="5" t="s">
        <v>552</v>
      </c>
    </row>
    <row r="297" spans="1:30" s="6" customFormat="1" x14ac:dyDescent="0.2">
      <c r="A297" s="13">
        <v>295</v>
      </c>
      <c r="B297" s="5" t="s">
        <v>600</v>
      </c>
      <c r="C297" s="5" t="s">
        <v>601</v>
      </c>
      <c r="D297" s="5"/>
      <c r="E297" s="5"/>
      <c r="F297" s="5"/>
      <c r="G297" s="5" t="s">
        <v>78</v>
      </c>
      <c r="H297" s="5" t="s">
        <v>77</v>
      </c>
      <c r="I297" s="5"/>
      <c r="J297" s="5"/>
      <c r="K297" s="5"/>
      <c r="L297" s="5"/>
      <c r="M297" s="5"/>
      <c r="N297" s="5"/>
      <c r="O297" s="5"/>
      <c r="P297" s="5"/>
      <c r="Q297" s="5"/>
      <c r="R297" s="5" t="s">
        <v>337</v>
      </c>
      <c r="S297" s="48"/>
      <c r="T297" s="48"/>
      <c r="U297" s="22"/>
      <c r="V297" s="5"/>
      <c r="W297" s="5"/>
      <c r="X297" s="5" t="s">
        <v>72</v>
      </c>
      <c r="Y297" s="5" t="s">
        <v>72</v>
      </c>
      <c r="Z297" s="5">
        <v>1</v>
      </c>
      <c r="AA297" s="5"/>
      <c r="AB297" s="5" t="s">
        <v>409</v>
      </c>
      <c r="AC297" s="5">
        <v>26</v>
      </c>
      <c r="AD297" s="5" t="s">
        <v>553</v>
      </c>
    </row>
    <row r="298" spans="1:30" s="6" customFormat="1" x14ac:dyDescent="0.2">
      <c r="A298" s="13">
        <v>296</v>
      </c>
      <c r="B298" s="5" t="s">
        <v>600</v>
      </c>
      <c r="C298" s="5" t="s">
        <v>601</v>
      </c>
      <c r="D298" s="5"/>
      <c r="E298" s="5"/>
      <c r="F298" s="5"/>
      <c r="G298" s="5" t="s">
        <v>52</v>
      </c>
      <c r="H298" s="5" t="s">
        <v>77</v>
      </c>
      <c r="I298" s="5"/>
      <c r="J298" s="5"/>
      <c r="K298" s="5"/>
      <c r="L298" s="5"/>
      <c r="M298" s="5"/>
      <c r="N298" s="5"/>
      <c r="O298" s="5"/>
      <c r="P298" s="5"/>
      <c r="Q298" s="5"/>
      <c r="R298" s="5" t="s">
        <v>337</v>
      </c>
      <c r="S298" s="48"/>
      <c r="T298" s="48"/>
      <c r="U298" s="22"/>
      <c r="V298" s="5"/>
      <c r="W298" s="5"/>
      <c r="X298" s="5" t="s">
        <v>74</v>
      </c>
      <c r="Y298" s="5" t="s">
        <v>74</v>
      </c>
      <c r="Z298" s="5">
        <v>1</v>
      </c>
      <c r="AA298" s="5"/>
      <c r="AB298" s="5" t="s">
        <v>409</v>
      </c>
      <c r="AC298" s="5">
        <v>26</v>
      </c>
      <c r="AD298" s="5" t="s">
        <v>553</v>
      </c>
    </row>
    <row r="299" spans="1:30" s="6" customFormat="1" x14ac:dyDescent="0.2">
      <c r="A299" s="13">
        <v>297</v>
      </c>
      <c r="B299" s="5" t="s">
        <v>600</v>
      </c>
      <c r="C299" s="5" t="s">
        <v>601</v>
      </c>
      <c r="D299" s="5" t="s">
        <v>592</v>
      </c>
      <c r="E299" s="5"/>
      <c r="F299" s="5"/>
      <c r="G299" s="5" t="s">
        <v>17</v>
      </c>
      <c r="H299" s="5">
        <v>5</v>
      </c>
      <c r="I299" s="5"/>
      <c r="J299" s="5"/>
      <c r="K299" s="5"/>
      <c r="L299" s="5"/>
      <c r="M299" s="5"/>
      <c r="N299" s="5"/>
      <c r="O299" s="5"/>
      <c r="P299" s="5"/>
      <c r="Q299" s="5"/>
      <c r="R299" s="5" t="s">
        <v>337</v>
      </c>
      <c r="S299" s="48"/>
      <c r="T299" s="48"/>
      <c r="U299" s="22"/>
      <c r="V299" s="5"/>
      <c r="W299" s="5"/>
      <c r="X299" s="5" t="s">
        <v>177</v>
      </c>
      <c r="Y299" s="5" t="s">
        <v>177</v>
      </c>
      <c r="Z299" s="5"/>
      <c r="AA299" s="5"/>
      <c r="AB299" s="5"/>
      <c r="AC299" s="5">
        <v>26</v>
      </c>
      <c r="AD299" s="5" t="s">
        <v>553</v>
      </c>
    </row>
    <row r="300" spans="1:30" s="6" customFormat="1" x14ac:dyDescent="0.2">
      <c r="A300" s="13">
        <v>298</v>
      </c>
      <c r="B300" s="5" t="s">
        <v>600</v>
      </c>
      <c r="C300" s="5" t="s">
        <v>601</v>
      </c>
      <c r="D300" s="5" t="s">
        <v>554</v>
      </c>
      <c r="E300" s="5"/>
      <c r="F300" s="5"/>
      <c r="G300" s="5" t="s">
        <v>78</v>
      </c>
      <c r="H300" s="5">
        <v>5</v>
      </c>
      <c r="I300" s="5"/>
      <c r="J300" s="5"/>
      <c r="K300" s="5"/>
      <c r="L300" s="5"/>
      <c r="M300" s="5"/>
      <c r="N300" s="5"/>
      <c r="O300" s="5"/>
      <c r="P300" s="5"/>
      <c r="Q300" s="5"/>
      <c r="R300" s="5" t="s">
        <v>337</v>
      </c>
      <c r="S300" s="48" t="s">
        <v>644</v>
      </c>
      <c r="T300" s="48"/>
      <c r="U300" s="22"/>
      <c r="V300" s="5"/>
      <c r="W300" s="5"/>
      <c r="X300" s="5" t="s">
        <v>72</v>
      </c>
      <c r="Y300" s="5" t="s">
        <v>72</v>
      </c>
      <c r="Z300" s="5">
        <v>1</v>
      </c>
      <c r="AA300" s="5"/>
      <c r="AB300" s="5" t="s">
        <v>409</v>
      </c>
      <c r="AC300" s="5">
        <v>26</v>
      </c>
      <c r="AD300" s="5" t="s">
        <v>553</v>
      </c>
    </row>
    <row r="301" spans="1:30" s="6" customFormat="1" x14ac:dyDescent="0.2">
      <c r="A301" s="13">
        <v>299</v>
      </c>
      <c r="B301" s="5" t="s">
        <v>600</v>
      </c>
      <c r="C301" s="5" t="s">
        <v>601</v>
      </c>
      <c r="D301" s="5" t="s">
        <v>554</v>
      </c>
      <c r="E301" s="5"/>
      <c r="F301" s="5"/>
      <c r="G301" s="5" t="s">
        <v>52</v>
      </c>
      <c r="H301" s="5">
        <v>5</v>
      </c>
      <c r="I301" s="5"/>
      <c r="J301" s="5"/>
      <c r="K301" s="5"/>
      <c r="L301" s="5"/>
      <c r="M301" s="5"/>
      <c r="N301" s="5"/>
      <c r="O301" s="5"/>
      <c r="P301" s="5"/>
      <c r="Q301" s="5"/>
      <c r="R301" s="5" t="s">
        <v>337</v>
      </c>
      <c r="S301" s="48" t="s">
        <v>644</v>
      </c>
      <c r="T301" s="48"/>
      <c r="U301" s="22"/>
      <c r="V301" s="5"/>
      <c r="W301" s="5"/>
      <c r="X301" s="5" t="s">
        <v>74</v>
      </c>
      <c r="Y301" s="5" t="s">
        <v>74</v>
      </c>
      <c r="Z301" s="5">
        <v>1</v>
      </c>
      <c r="AA301" s="5"/>
      <c r="AB301" s="5" t="s">
        <v>409</v>
      </c>
      <c r="AC301" s="5">
        <v>26</v>
      </c>
      <c r="AD301" s="5" t="s">
        <v>553</v>
      </c>
    </row>
    <row r="302" spans="1:30" s="6" customFormat="1" x14ac:dyDescent="0.2">
      <c r="A302" s="13">
        <v>300</v>
      </c>
      <c r="B302" s="5" t="s">
        <v>600</v>
      </c>
      <c r="C302" s="5" t="s">
        <v>601</v>
      </c>
      <c r="D302" s="5" t="s">
        <v>555</v>
      </c>
      <c r="E302" s="5"/>
      <c r="F302" s="5"/>
      <c r="G302" s="5" t="s">
        <v>78</v>
      </c>
      <c r="H302" s="5">
        <v>5</v>
      </c>
      <c r="I302" s="5"/>
      <c r="J302" s="5"/>
      <c r="K302" s="5"/>
      <c r="L302" s="5"/>
      <c r="M302" s="5"/>
      <c r="N302" s="5"/>
      <c r="O302" s="5"/>
      <c r="P302" s="5"/>
      <c r="Q302" s="5"/>
      <c r="R302" s="5" t="s">
        <v>337</v>
      </c>
      <c r="S302" s="48"/>
      <c r="T302" s="48"/>
      <c r="U302" s="22"/>
      <c r="V302" s="5"/>
      <c r="W302" s="5"/>
      <c r="X302" s="5" t="s">
        <v>72</v>
      </c>
      <c r="Y302" s="5" t="s">
        <v>72</v>
      </c>
      <c r="Z302" s="5">
        <v>1</v>
      </c>
      <c r="AA302" s="5"/>
      <c r="AB302" s="5" t="s">
        <v>409</v>
      </c>
      <c r="AC302" s="5">
        <v>26</v>
      </c>
      <c r="AD302" s="5" t="s">
        <v>553</v>
      </c>
    </row>
    <row r="303" spans="1:30" s="6" customFormat="1" x14ac:dyDescent="0.2">
      <c r="A303" s="13">
        <v>301</v>
      </c>
      <c r="B303" s="5" t="s">
        <v>600</v>
      </c>
      <c r="C303" s="5" t="s">
        <v>601</v>
      </c>
      <c r="D303" s="5" t="s">
        <v>555</v>
      </c>
      <c r="E303" s="5"/>
      <c r="F303" s="5"/>
      <c r="G303" s="5" t="s">
        <v>52</v>
      </c>
      <c r="H303" s="5">
        <v>5</v>
      </c>
      <c r="I303" s="5"/>
      <c r="J303" s="5"/>
      <c r="K303" s="5"/>
      <c r="L303" s="5"/>
      <c r="M303" s="5"/>
      <c r="N303" s="5"/>
      <c r="O303" s="5"/>
      <c r="P303" s="5"/>
      <c r="Q303" s="5"/>
      <c r="R303" s="5" t="s">
        <v>337</v>
      </c>
      <c r="S303" s="48"/>
      <c r="T303" s="48"/>
      <c r="U303" s="22"/>
      <c r="V303" s="5"/>
      <c r="W303" s="5"/>
      <c r="X303" s="5" t="s">
        <v>74</v>
      </c>
      <c r="Y303" s="5" t="s">
        <v>74</v>
      </c>
      <c r="Z303" s="5">
        <v>1</v>
      </c>
      <c r="AA303" s="5"/>
      <c r="AB303" s="5" t="s">
        <v>409</v>
      </c>
      <c r="AC303" s="5">
        <v>26</v>
      </c>
      <c r="AD303" s="5" t="s">
        <v>553</v>
      </c>
    </row>
    <row r="304" spans="1:30" s="6" customFormat="1" x14ac:dyDescent="0.2">
      <c r="A304" s="13">
        <v>302</v>
      </c>
      <c r="B304" s="5" t="s">
        <v>602</v>
      </c>
      <c r="C304" s="5" t="s">
        <v>602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 t="s">
        <v>338</v>
      </c>
      <c r="S304" s="48"/>
      <c r="T304" s="38" t="s">
        <v>154</v>
      </c>
      <c r="U304" s="47">
        <v>0</v>
      </c>
      <c r="V304" s="5"/>
      <c r="W304" s="5"/>
      <c r="X304" s="5" t="s">
        <v>12</v>
      </c>
      <c r="Y304" s="5" t="s">
        <v>12</v>
      </c>
      <c r="Z304" s="5">
        <v>1</v>
      </c>
      <c r="AA304" s="5"/>
      <c r="AB304" s="5" t="s">
        <v>82</v>
      </c>
      <c r="AC304" s="5">
        <v>25</v>
      </c>
      <c r="AD304" s="5" t="s">
        <v>84</v>
      </c>
    </row>
    <row r="305" spans="1:30" x14ac:dyDescent="0.2">
      <c r="A305" s="13">
        <v>303</v>
      </c>
      <c r="B305" s="5" t="s">
        <v>602</v>
      </c>
      <c r="C305" s="5" t="s">
        <v>602</v>
      </c>
      <c r="P305" s="5"/>
      <c r="R305" s="5" t="s">
        <v>338</v>
      </c>
      <c r="S305" s="48"/>
      <c r="T305" s="38" t="s">
        <v>154</v>
      </c>
      <c r="U305" s="47">
        <v>1</v>
      </c>
      <c r="V305" s="1" t="s">
        <v>538</v>
      </c>
      <c r="W305" s="1">
        <v>2</v>
      </c>
      <c r="Y305" s="1" t="s">
        <v>40</v>
      </c>
      <c r="AB305" s="5" t="s">
        <v>82</v>
      </c>
      <c r="AC305" s="5">
        <v>25</v>
      </c>
      <c r="AD305" s="5" t="s">
        <v>84</v>
      </c>
    </row>
    <row r="306" spans="1:30" x14ac:dyDescent="0.2">
      <c r="A306" s="13">
        <v>304</v>
      </c>
      <c r="B306" s="5" t="s">
        <v>602</v>
      </c>
      <c r="C306" s="5" t="s">
        <v>602</v>
      </c>
      <c r="P306" s="5"/>
      <c r="R306" s="5" t="s">
        <v>338</v>
      </c>
      <c r="S306" s="48"/>
      <c r="T306" s="38" t="s">
        <v>154</v>
      </c>
      <c r="U306" s="22">
        <v>2</v>
      </c>
      <c r="X306" s="1" t="s">
        <v>25</v>
      </c>
      <c r="Y306" s="1" t="s">
        <v>25</v>
      </c>
      <c r="Z306" s="1">
        <v>1</v>
      </c>
      <c r="AB306" s="5" t="s">
        <v>82</v>
      </c>
      <c r="AC306" s="5">
        <v>25</v>
      </c>
      <c r="AD306" s="5" t="s">
        <v>84</v>
      </c>
    </row>
    <row r="307" spans="1:30" s="6" customFormat="1" x14ac:dyDescent="0.2">
      <c r="A307" s="13">
        <v>305</v>
      </c>
      <c r="B307" s="5" t="s">
        <v>602</v>
      </c>
      <c r="C307" s="5" t="s">
        <v>602</v>
      </c>
      <c r="D307" s="5" t="s">
        <v>557</v>
      </c>
      <c r="E307" s="5"/>
      <c r="F307" s="5"/>
      <c r="G307" s="5" t="s">
        <v>17</v>
      </c>
      <c r="H307" s="5" t="s">
        <v>63</v>
      </c>
      <c r="I307" s="5"/>
      <c r="J307" s="5"/>
      <c r="K307" s="5"/>
      <c r="L307" s="5"/>
      <c r="M307" s="5"/>
      <c r="N307" s="5"/>
      <c r="O307" s="5"/>
      <c r="P307" s="5"/>
      <c r="Q307" s="5"/>
      <c r="R307" s="5" t="s">
        <v>336</v>
      </c>
      <c r="S307" s="48" t="s">
        <v>644</v>
      </c>
      <c r="T307" s="48"/>
      <c r="U307" s="22"/>
      <c r="V307" s="5" t="s">
        <v>516</v>
      </c>
      <c r="W307" s="5" t="s">
        <v>532</v>
      </c>
      <c r="X307" s="5"/>
      <c r="Y307" s="5" t="s">
        <v>323</v>
      </c>
      <c r="Z307" s="5"/>
      <c r="AA307" s="5" t="s">
        <v>13</v>
      </c>
      <c r="AB307" s="5" t="s">
        <v>82</v>
      </c>
      <c r="AC307" s="5">
        <v>25</v>
      </c>
      <c r="AD307" s="5" t="s">
        <v>593</v>
      </c>
    </row>
    <row r="308" spans="1:30" s="6" customFormat="1" x14ac:dyDescent="0.2">
      <c r="A308" s="13">
        <v>306</v>
      </c>
      <c r="B308" s="5" t="s">
        <v>602</v>
      </c>
      <c r="C308" s="5" t="s">
        <v>602</v>
      </c>
      <c r="D308" s="5" t="s">
        <v>555</v>
      </c>
      <c r="E308" s="5"/>
      <c r="F308" s="5"/>
      <c r="G308" s="5" t="s">
        <v>17</v>
      </c>
      <c r="H308" s="5" t="s">
        <v>63</v>
      </c>
      <c r="I308" s="5"/>
      <c r="J308" s="5"/>
      <c r="K308" s="5"/>
      <c r="L308" s="5"/>
      <c r="M308" s="5"/>
      <c r="N308" s="5"/>
      <c r="O308" s="5"/>
      <c r="P308" s="5"/>
      <c r="Q308" s="5"/>
      <c r="R308" s="5" t="s">
        <v>336</v>
      </c>
      <c r="S308" s="48"/>
      <c r="T308" s="48"/>
      <c r="U308" s="22"/>
      <c r="V308" s="5" t="s">
        <v>516</v>
      </c>
      <c r="W308" s="5" t="s">
        <v>532</v>
      </c>
      <c r="X308" s="5"/>
      <c r="Y308" s="5" t="s">
        <v>323</v>
      </c>
      <c r="Z308" s="5"/>
      <c r="AA308" s="5" t="s">
        <v>13</v>
      </c>
      <c r="AB308" s="5" t="s">
        <v>82</v>
      </c>
      <c r="AC308" s="5">
        <v>25</v>
      </c>
      <c r="AD308" s="5" t="s">
        <v>593</v>
      </c>
    </row>
    <row r="309" spans="1:30" s="42" customFormat="1" x14ac:dyDescent="0.2">
      <c r="A309" s="39">
        <v>307</v>
      </c>
      <c r="B309" s="40" t="s">
        <v>602</v>
      </c>
      <c r="C309" s="40" t="s">
        <v>600</v>
      </c>
      <c r="D309" s="41" t="s">
        <v>85</v>
      </c>
      <c r="E309" s="40" t="s">
        <v>124</v>
      </c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0"/>
      <c r="Q309" s="41"/>
      <c r="R309" s="40" t="s">
        <v>336</v>
      </c>
      <c r="S309" s="50"/>
      <c r="T309" s="50"/>
      <c r="U309" s="51"/>
      <c r="V309" s="41"/>
      <c r="W309" s="41"/>
      <c r="X309" s="41" t="s">
        <v>25</v>
      </c>
      <c r="Y309" s="41" t="s">
        <v>25</v>
      </c>
      <c r="Z309" s="41"/>
      <c r="AA309" s="41"/>
      <c r="AB309" s="40" t="s">
        <v>86</v>
      </c>
      <c r="AC309" s="41">
        <v>25</v>
      </c>
      <c r="AD309" s="40" t="s">
        <v>593</v>
      </c>
    </row>
    <row r="310" spans="1:30" s="42" customFormat="1" x14ac:dyDescent="0.2">
      <c r="A310" s="39">
        <v>308</v>
      </c>
      <c r="B310" s="40" t="s">
        <v>602</v>
      </c>
      <c r="C310" s="40" t="s">
        <v>608</v>
      </c>
      <c r="D310" s="41" t="s">
        <v>87</v>
      </c>
      <c r="E310" s="40" t="s">
        <v>124</v>
      </c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0"/>
      <c r="Q310" s="41"/>
      <c r="R310" s="40" t="s">
        <v>336</v>
      </c>
      <c r="S310" s="50"/>
      <c r="T310" s="50"/>
      <c r="U310" s="51"/>
      <c r="V310" s="41"/>
      <c r="W310" s="41"/>
      <c r="X310" s="41" t="s">
        <v>44</v>
      </c>
      <c r="Y310" s="41" t="s">
        <v>44</v>
      </c>
      <c r="Z310" s="41"/>
      <c r="AA310" s="40" t="s">
        <v>177</v>
      </c>
      <c r="AB310" s="40"/>
      <c r="AC310" s="41">
        <v>25</v>
      </c>
      <c r="AD310" s="40" t="s">
        <v>593</v>
      </c>
    </row>
    <row r="311" spans="1:30" s="42" customFormat="1" x14ac:dyDescent="0.2">
      <c r="A311" s="39">
        <v>309</v>
      </c>
      <c r="B311" s="40" t="s">
        <v>602</v>
      </c>
      <c r="C311" s="40" t="s">
        <v>600</v>
      </c>
      <c r="D311" s="41" t="s">
        <v>88</v>
      </c>
      <c r="E311" s="40" t="s">
        <v>124</v>
      </c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0"/>
      <c r="Q311" s="41"/>
      <c r="R311" s="40" t="s">
        <v>336</v>
      </c>
      <c r="S311" s="50"/>
      <c r="T311" s="50"/>
      <c r="U311" s="51"/>
      <c r="V311" s="41"/>
      <c r="W311" s="41"/>
      <c r="X311" s="41" t="s">
        <v>89</v>
      </c>
      <c r="Y311" s="41" t="s">
        <v>89</v>
      </c>
      <c r="Z311" s="41"/>
      <c r="AA311" s="40"/>
      <c r="AB311" s="40" t="s">
        <v>90</v>
      </c>
      <c r="AC311" s="41">
        <v>25</v>
      </c>
      <c r="AD311" s="40" t="s">
        <v>593</v>
      </c>
    </row>
    <row r="312" spans="1:30" s="42" customFormat="1" x14ac:dyDescent="0.2">
      <c r="A312" s="39">
        <v>310</v>
      </c>
      <c r="B312" s="40" t="s">
        <v>602</v>
      </c>
      <c r="C312" s="40" t="s">
        <v>608</v>
      </c>
      <c r="D312" s="41" t="s">
        <v>91</v>
      </c>
      <c r="E312" s="40" t="s">
        <v>124</v>
      </c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0"/>
      <c r="Q312" s="41"/>
      <c r="R312" s="40" t="s">
        <v>336</v>
      </c>
      <c r="S312" s="50"/>
      <c r="T312" s="50"/>
      <c r="U312" s="51"/>
      <c r="V312" s="41"/>
      <c r="W312" s="41"/>
      <c r="X312" s="41" t="s">
        <v>92</v>
      </c>
      <c r="Y312" s="41" t="s">
        <v>92</v>
      </c>
      <c r="Z312" s="41"/>
      <c r="AA312" s="40" t="s">
        <v>177</v>
      </c>
      <c r="AB312" s="40"/>
      <c r="AC312" s="41">
        <v>25</v>
      </c>
      <c r="AD312" s="40" t="s">
        <v>593</v>
      </c>
    </row>
    <row r="313" spans="1:30" s="42" customFormat="1" x14ac:dyDescent="0.2">
      <c r="A313" s="39">
        <v>311</v>
      </c>
      <c r="B313" s="40" t="s">
        <v>602</v>
      </c>
      <c r="C313" s="40" t="s">
        <v>600</v>
      </c>
      <c r="D313" s="41" t="s">
        <v>93</v>
      </c>
      <c r="E313" s="40" t="s">
        <v>124</v>
      </c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0"/>
      <c r="Q313" s="41"/>
      <c r="R313" s="40" t="s">
        <v>336</v>
      </c>
      <c r="S313" s="50"/>
      <c r="T313" s="50"/>
      <c r="U313" s="51"/>
      <c r="V313" s="41"/>
      <c r="W313" s="41"/>
      <c r="X313" s="41" t="s">
        <v>94</v>
      </c>
      <c r="Y313" s="41" t="s">
        <v>94</v>
      </c>
      <c r="Z313" s="41"/>
      <c r="AA313" s="40"/>
      <c r="AB313" s="40" t="s">
        <v>95</v>
      </c>
      <c r="AC313" s="41">
        <v>25</v>
      </c>
      <c r="AD313" s="40" t="s">
        <v>593</v>
      </c>
    </row>
    <row r="314" spans="1:30" s="42" customFormat="1" x14ac:dyDescent="0.2">
      <c r="A314" s="39">
        <v>312</v>
      </c>
      <c r="B314" s="40" t="s">
        <v>602</v>
      </c>
      <c r="C314" s="40" t="s">
        <v>608</v>
      </c>
      <c r="D314" s="41" t="s">
        <v>96</v>
      </c>
      <c r="E314" s="40" t="s">
        <v>124</v>
      </c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0"/>
      <c r="Q314" s="41"/>
      <c r="R314" s="40" t="s">
        <v>336</v>
      </c>
      <c r="S314" s="50"/>
      <c r="T314" s="50"/>
      <c r="U314" s="51"/>
      <c r="V314" s="41"/>
      <c r="W314" s="41"/>
      <c r="X314" s="41" t="s">
        <v>97</v>
      </c>
      <c r="Y314" s="41" t="s">
        <v>97</v>
      </c>
      <c r="Z314" s="41"/>
      <c r="AA314" s="40" t="s">
        <v>177</v>
      </c>
      <c r="AB314" s="40"/>
      <c r="AC314" s="41">
        <v>25</v>
      </c>
      <c r="AD314" s="40" t="s">
        <v>593</v>
      </c>
    </row>
    <row r="315" spans="1:30" s="42" customFormat="1" x14ac:dyDescent="0.2">
      <c r="A315" s="39">
        <v>313</v>
      </c>
      <c r="B315" s="40" t="s">
        <v>602</v>
      </c>
      <c r="C315" s="40" t="s">
        <v>608</v>
      </c>
      <c r="D315" s="41" t="s">
        <v>563</v>
      </c>
      <c r="E315" s="40" t="s">
        <v>378</v>
      </c>
      <c r="F315" s="41"/>
      <c r="G315" s="41" t="s">
        <v>16</v>
      </c>
      <c r="H315" s="41" t="s">
        <v>63</v>
      </c>
      <c r="I315" s="41"/>
      <c r="J315" s="41"/>
      <c r="K315" s="41"/>
      <c r="L315" s="41"/>
      <c r="M315" s="41"/>
      <c r="N315" s="41"/>
      <c r="O315" s="41"/>
      <c r="P315" s="40"/>
      <c r="Q315" s="41"/>
      <c r="R315" s="40" t="s">
        <v>336</v>
      </c>
      <c r="S315" s="50"/>
      <c r="T315" s="50"/>
      <c r="U315" s="51"/>
      <c r="V315" s="40" t="s">
        <v>516</v>
      </c>
      <c r="W315" s="40" t="s">
        <v>531</v>
      </c>
      <c r="X315" s="41"/>
      <c r="Y315" s="41" t="s">
        <v>40</v>
      </c>
      <c r="Z315" s="41"/>
      <c r="AA315" s="41" t="s">
        <v>177</v>
      </c>
      <c r="AB315" s="40" t="s">
        <v>565</v>
      </c>
      <c r="AC315" s="41">
        <v>25</v>
      </c>
      <c r="AD315" s="40" t="s">
        <v>593</v>
      </c>
    </row>
    <row r="316" spans="1:30" s="42" customFormat="1" x14ac:dyDescent="0.2">
      <c r="A316" s="39">
        <v>314</v>
      </c>
      <c r="B316" s="40" t="s">
        <v>602</v>
      </c>
      <c r="C316" s="40" t="s">
        <v>602</v>
      </c>
      <c r="D316" s="41" t="s">
        <v>564</v>
      </c>
      <c r="E316" s="40"/>
      <c r="F316" s="41"/>
      <c r="G316" s="41" t="s">
        <v>16</v>
      </c>
      <c r="H316" s="41" t="s">
        <v>63</v>
      </c>
      <c r="I316" s="41"/>
      <c r="J316" s="41"/>
      <c r="K316" s="41"/>
      <c r="L316" s="41"/>
      <c r="M316" s="41"/>
      <c r="N316" s="41"/>
      <c r="O316" s="41"/>
      <c r="P316" s="40"/>
      <c r="Q316" s="41"/>
      <c r="R316" s="40" t="s">
        <v>336</v>
      </c>
      <c r="S316" s="50"/>
      <c r="T316" s="50"/>
      <c r="U316" s="51"/>
      <c r="V316" s="40" t="s">
        <v>516</v>
      </c>
      <c r="W316" s="40" t="s">
        <v>532</v>
      </c>
      <c r="X316" s="41"/>
      <c r="Y316" s="41" t="s">
        <v>51</v>
      </c>
      <c r="Z316" s="41">
        <v>1</v>
      </c>
      <c r="AA316" s="41" t="s">
        <v>13</v>
      </c>
      <c r="AB316" s="40" t="s">
        <v>562</v>
      </c>
      <c r="AC316" s="41">
        <v>25</v>
      </c>
      <c r="AD316" s="40" t="s">
        <v>593</v>
      </c>
    </row>
    <row r="317" spans="1:30" s="46" customFormat="1" x14ac:dyDescent="0.2">
      <c r="A317" s="39">
        <v>315</v>
      </c>
      <c r="B317" s="40" t="s">
        <v>602</v>
      </c>
      <c r="C317" s="40" t="s">
        <v>602</v>
      </c>
      <c r="D317" s="40" t="s">
        <v>558</v>
      </c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 t="s">
        <v>568</v>
      </c>
      <c r="S317" s="52"/>
      <c r="T317" s="52" t="s">
        <v>626</v>
      </c>
      <c r="U317" s="53" t="s">
        <v>615</v>
      </c>
      <c r="V317" s="40" t="s">
        <v>539</v>
      </c>
      <c r="W317" s="40">
        <v>3</v>
      </c>
      <c r="X317" s="40"/>
      <c r="Y317" s="40" t="s">
        <v>51</v>
      </c>
      <c r="Z317" s="40"/>
      <c r="AA317" s="40"/>
      <c r="AB317" s="40" t="s">
        <v>82</v>
      </c>
      <c r="AC317" s="40">
        <v>25</v>
      </c>
      <c r="AD317" s="40" t="s">
        <v>593</v>
      </c>
    </row>
    <row r="318" spans="1:30" s="46" customFormat="1" x14ac:dyDescent="0.2">
      <c r="A318" s="39">
        <v>316</v>
      </c>
      <c r="B318" s="40" t="s">
        <v>602</v>
      </c>
      <c r="C318" s="40" t="s">
        <v>608</v>
      </c>
      <c r="D318" s="40" t="s">
        <v>559</v>
      </c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 t="s">
        <v>568</v>
      </c>
      <c r="S318" s="52"/>
      <c r="T318" s="52" t="s">
        <v>626</v>
      </c>
      <c r="U318" s="53" t="s">
        <v>615</v>
      </c>
      <c r="V318" s="40" t="s">
        <v>539</v>
      </c>
      <c r="W318" s="40">
        <v>4</v>
      </c>
      <c r="X318" s="40"/>
      <c r="Y318" s="40" t="s">
        <v>56</v>
      </c>
      <c r="Z318" s="40"/>
      <c r="AA318" s="40" t="s">
        <v>177</v>
      </c>
      <c r="AB318" s="40" t="s">
        <v>82</v>
      </c>
      <c r="AC318" s="40">
        <v>25</v>
      </c>
      <c r="AD318" s="40" t="s">
        <v>593</v>
      </c>
    </row>
    <row r="319" spans="1:30" s="6" customFormat="1" x14ac:dyDescent="0.2">
      <c r="A319" s="13">
        <v>317</v>
      </c>
      <c r="B319" s="5" t="s">
        <v>602</v>
      </c>
      <c r="C319" s="5" t="s">
        <v>665</v>
      </c>
      <c r="D319" s="5" t="s">
        <v>560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 t="s">
        <v>566</v>
      </c>
      <c r="S319" s="48"/>
      <c r="T319" s="48" t="s">
        <v>626</v>
      </c>
      <c r="U319" s="22" t="s">
        <v>615</v>
      </c>
      <c r="V319" s="5"/>
      <c r="W319" s="5"/>
      <c r="X319" s="5" t="s">
        <v>62</v>
      </c>
      <c r="Y319" s="5" t="s">
        <v>62</v>
      </c>
      <c r="Z319" s="5">
        <v>1</v>
      </c>
      <c r="AA319" s="5" t="s">
        <v>81</v>
      </c>
      <c r="AB319" s="5" t="s">
        <v>561</v>
      </c>
      <c r="AC319" s="5">
        <v>25</v>
      </c>
      <c r="AD319" s="5" t="s">
        <v>593</v>
      </c>
    </row>
    <row r="320" spans="1:30" s="6" customFormat="1" x14ac:dyDescent="0.2">
      <c r="A320" s="13">
        <v>318</v>
      </c>
      <c r="B320" s="5" t="s">
        <v>602</v>
      </c>
      <c r="C320" s="5" t="s">
        <v>665</v>
      </c>
      <c r="D320" s="5" t="s">
        <v>560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 t="s">
        <v>567</v>
      </c>
      <c r="S320" s="48"/>
      <c r="T320" s="48" t="s">
        <v>626</v>
      </c>
      <c r="U320" s="22" t="s">
        <v>616</v>
      </c>
      <c r="V320" s="5"/>
      <c r="W320" s="5"/>
      <c r="X320" s="5" t="s">
        <v>397</v>
      </c>
      <c r="Y320" s="5" t="s">
        <v>397</v>
      </c>
      <c r="Z320" s="5">
        <v>1</v>
      </c>
      <c r="AA320" s="5" t="s">
        <v>81</v>
      </c>
      <c r="AB320" s="5" t="s">
        <v>561</v>
      </c>
      <c r="AC320" s="5">
        <v>25</v>
      </c>
      <c r="AD320" s="5" t="s">
        <v>593</v>
      </c>
    </row>
    <row r="321" spans="1:30" s="6" customFormat="1" x14ac:dyDescent="0.2">
      <c r="A321" s="13">
        <v>319</v>
      </c>
      <c r="B321" s="5" t="s">
        <v>602</v>
      </c>
      <c r="C321" s="5" t="s">
        <v>602</v>
      </c>
      <c r="D321" s="5" t="s">
        <v>557</v>
      </c>
      <c r="E321" s="5"/>
      <c r="F321" s="5"/>
      <c r="G321" s="5" t="s">
        <v>17</v>
      </c>
      <c r="H321" s="5" t="s">
        <v>63</v>
      </c>
      <c r="I321" s="5"/>
      <c r="J321" s="5"/>
      <c r="K321" s="5"/>
      <c r="L321" s="5"/>
      <c r="M321" s="5"/>
      <c r="N321" s="5"/>
      <c r="O321" s="5"/>
      <c r="P321" s="5"/>
      <c r="Q321" s="5"/>
      <c r="R321" s="5" t="s">
        <v>568</v>
      </c>
      <c r="S321" s="48"/>
      <c r="T321" s="48" t="s">
        <v>153</v>
      </c>
      <c r="U321" s="22"/>
      <c r="V321" s="5" t="s">
        <v>516</v>
      </c>
      <c r="W321" s="5" t="s">
        <v>532</v>
      </c>
      <c r="X321" s="5"/>
      <c r="Y321" s="5" t="s">
        <v>323</v>
      </c>
      <c r="Z321" s="5"/>
      <c r="AA321" s="5" t="s">
        <v>13</v>
      </c>
      <c r="AB321" s="5" t="s">
        <v>82</v>
      </c>
      <c r="AC321" s="5">
        <v>25</v>
      </c>
      <c r="AD321" s="5" t="s">
        <v>593</v>
      </c>
    </row>
    <row r="322" spans="1:30" s="6" customFormat="1" x14ac:dyDescent="0.2">
      <c r="A322" s="13">
        <v>320</v>
      </c>
      <c r="B322" s="5" t="s">
        <v>602</v>
      </c>
      <c r="C322" s="5" t="s">
        <v>602</v>
      </c>
      <c r="D322" s="5" t="s">
        <v>555</v>
      </c>
      <c r="E322" s="5"/>
      <c r="F322" s="5"/>
      <c r="G322" s="5" t="s">
        <v>17</v>
      </c>
      <c r="H322" s="5" t="s">
        <v>63</v>
      </c>
      <c r="I322" s="5"/>
      <c r="J322" s="5"/>
      <c r="K322" s="5"/>
      <c r="L322" s="5"/>
      <c r="M322" s="5"/>
      <c r="N322" s="5"/>
      <c r="O322" s="5"/>
      <c r="P322" s="5"/>
      <c r="Q322" s="5"/>
      <c r="R322" s="5" t="s">
        <v>568</v>
      </c>
      <c r="S322" s="48"/>
      <c r="T322" s="48"/>
      <c r="U322" s="22"/>
      <c r="V322" s="5" t="s">
        <v>516</v>
      </c>
      <c r="W322" s="5" t="s">
        <v>532</v>
      </c>
      <c r="X322" s="5"/>
      <c r="Y322" s="5" t="s">
        <v>323</v>
      </c>
      <c r="Z322" s="5"/>
      <c r="AA322" s="5" t="s">
        <v>13</v>
      </c>
      <c r="AB322" s="5" t="s">
        <v>82</v>
      </c>
      <c r="AC322" s="5">
        <v>25</v>
      </c>
      <c r="AD322" s="5" t="s">
        <v>593</v>
      </c>
    </row>
    <row r="323" spans="1:30" s="46" customFormat="1" x14ac:dyDescent="0.2">
      <c r="A323" s="39">
        <v>321</v>
      </c>
      <c r="B323" s="40" t="s">
        <v>602</v>
      </c>
      <c r="C323" s="40" t="s">
        <v>602</v>
      </c>
      <c r="D323" s="40" t="s">
        <v>558</v>
      </c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 t="s">
        <v>569</v>
      </c>
      <c r="S323" s="52"/>
      <c r="T323" s="50" t="s">
        <v>626</v>
      </c>
      <c r="U323" s="53" t="s">
        <v>615</v>
      </c>
      <c r="V323" s="40"/>
      <c r="W323" s="40"/>
      <c r="X323" s="40" t="s">
        <v>74</v>
      </c>
      <c r="Y323" s="40" t="s">
        <v>74</v>
      </c>
      <c r="Z323" s="40">
        <v>1</v>
      </c>
      <c r="AA323" s="40"/>
      <c r="AB323" s="40" t="s">
        <v>570</v>
      </c>
      <c r="AC323" s="40">
        <v>25</v>
      </c>
      <c r="AD323" s="40" t="s">
        <v>593</v>
      </c>
    </row>
    <row r="324" spans="1:30" s="46" customFormat="1" x14ac:dyDescent="0.2">
      <c r="A324" s="39">
        <v>322</v>
      </c>
      <c r="B324" s="40" t="s">
        <v>602</v>
      </c>
      <c r="C324" s="40" t="s">
        <v>602</v>
      </c>
      <c r="D324" s="40" t="s">
        <v>558</v>
      </c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 t="s">
        <v>569</v>
      </c>
      <c r="S324" s="52"/>
      <c r="T324" s="50" t="s">
        <v>626</v>
      </c>
      <c r="U324" s="53" t="s">
        <v>616</v>
      </c>
      <c r="V324" s="40"/>
      <c r="W324" s="40"/>
      <c r="X324" s="40" t="s">
        <v>291</v>
      </c>
      <c r="Y324" s="40" t="s">
        <v>291</v>
      </c>
      <c r="Z324" s="40">
        <v>1</v>
      </c>
      <c r="AA324" s="40"/>
      <c r="AB324" s="40" t="s">
        <v>570</v>
      </c>
      <c r="AC324" s="40">
        <v>25</v>
      </c>
      <c r="AD324" s="40" t="s">
        <v>593</v>
      </c>
    </row>
    <row r="325" spans="1:30" s="46" customFormat="1" x14ac:dyDescent="0.2">
      <c r="A325" s="39">
        <v>323</v>
      </c>
      <c r="B325" s="40" t="s">
        <v>602</v>
      </c>
      <c r="C325" s="40" t="s">
        <v>602</v>
      </c>
      <c r="D325" s="40" t="s">
        <v>396</v>
      </c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 t="s">
        <v>569</v>
      </c>
      <c r="S325" s="52"/>
      <c r="T325" s="50" t="s">
        <v>626</v>
      </c>
      <c r="U325" s="53" t="s">
        <v>615</v>
      </c>
      <c r="V325" s="40"/>
      <c r="W325" s="40"/>
      <c r="X325" s="40" t="s">
        <v>58</v>
      </c>
      <c r="Y325" s="40" t="s">
        <v>58</v>
      </c>
      <c r="Z325" s="40">
        <v>1</v>
      </c>
      <c r="AA325" s="40" t="s">
        <v>13</v>
      </c>
      <c r="AB325" s="40" t="s">
        <v>570</v>
      </c>
      <c r="AC325" s="40">
        <v>25</v>
      </c>
      <c r="AD325" s="40" t="s">
        <v>593</v>
      </c>
    </row>
    <row r="326" spans="1:30" s="46" customFormat="1" x14ac:dyDescent="0.2">
      <c r="A326" s="39">
        <v>324</v>
      </c>
      <c r="B326" s="40" t="s">
        <v>602</v>
      </c>
      <c r="C326" s="40" t="s">
        <v>602</v>
      </c>
      <c r="D326" s="40" t="s">
        <v>396</v>
      </c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 t="s">
        <v>569</v>
      </c>
      <c r="S326" s="52"/>
      <c r="T326" s="50" t="s">
        <v>626</v>
      </c>
      <c r="U326" s="53" t="s">
        <v>616</v>
      </c>
      <c r="V326" s="40"/>
      <c r="W326" s="40"/>
      <c r="X326" s="40" t="s">
        <v>60</v>
      </c>
      <c r="Y326" s="40" t="s">
        <v>60</v>
      </c>
      <c r="Z326" s="40">
        <v>1</v>
      </c>
      <c r="AA326" s="40" t="s">
        <v>13</v>
      </c>
      <c r="AB326" s="40" t="s">
        <v>570</v>
      </c>
      <c r="AC326" s="40">
        <v>25</v>
      </c>
      <c r="AD326" s="40" t="s">
        <v>593</v>
      </c>
    </row>
    <row r="327" spans="1:30" s="6" customFormat="1" x14ac:dyDescent="0.2">
      <c r="A327" s="13">
        <v>325</v>
      </c>
      <c r="B327" s="5" t="s">
        <v>602</v>
      </c>
      <c r="C327" s="5" t="s">
        <v>602</v>
      </c>
      <c r="D327" s="5" t="s">
        <v>571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 t="s">
        <v>569</v>
      </c>
      <c r="S327" s="48"/>
      <c r="T327" s="38" t="s">
        <v>626</v>
      </c>
      <c r="U327" s="22" t="s">
        <v>615</v>
      </c>
      <c r="V327" s="5"/>
      <c r="W327" s="5"/>
      <c r="X327" s="5" t="s">
        <v>397</v>
      </c>
      <c r="Y327" s="5" t="s">
        <v>397</v>
      </c>
      <c r="Z327" s="5"/>
      <c r="AA327" s="5" t="s">
        <v>81</v>
      </c>
      <c r="AB327" s="5"/>
      <c r="AC327" s="5">
        <v>25</v>
      </c>
      <c r="AD327" s="5" t="s">
        <v>593</v>
      </c>
    </row>
    <row r="328" spans="1:30" s="6" customFormat="1" x14ac:dyDescent="0.2">
      <c r="A328" s="13">
        <v>326</v>
      </c>
      <c r="B328" s="5" t="s">
        <v>602</v>
      </c>
      <c r="C328" s="5" t="s">
        <v>602</v>
      </c>
      <c r="D328" s="5" t="s">
        <v>571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 t="s">
        <v>569</v>
      </c>
      <c r="S328" s="48"/>
      <c r="T328" s="38" t="s">
        <v>626</v>
      </c>
      <c r="U328" s="22" t="s">
        <v>616</v>
      </c>
      <c r="V328" s="5"/>
      <c r="W328" s="5"/>
      <c r="X328" s="5" t="s">
        <v>62</v>
      </c>
      <c r="Y328" s="5" t="s">
        <v>62</v>
      </c>
      <c r="Z328" s="5"/>
      <c r="AA328" s="5" t="s">
        <v>81</v>
      </c>
      <c r="AB328" s="5"/>
      <c r="AC328" s="5">
        <v>25</v>
      </c>
      <c r="AD328" s="5" t="s">
        <v>593</v>
      </c>
    </row>
    <row r="329" spans="1:30" s="6" customFormat="1" x14ac:dyDescent="0.2">
      <c r="A329" s="13">
        <v>327</v>
      </c>
      <c r="B329" s="5" t="s">
        <v>602</v>
      </c>
      <c r="C329" s="5" t="s">
        <v>602</v>
      </c>
      <c r="D329" s="5" t="s">
        <v>572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 t="s">
        <v>568</v>
      </c>
      <c r="S329" s="48"/>
      <c r="T329" s="38" t="s">
        <v>153</v>
      </c>
      <c r="U329" s="47" t="s">
        <v>441</v>
      </c>
      <c r="V329" s="5"/>
      <c r="W329" s="5"/>
      <c r="X329" s="5" t="s">
        <v>58</v>
      </c>
      <c r="Y329" s="5" t="s">
        <v>58</v>
      </c>
      <c r="Z329" s="5">
        <v>1</v>
      </c>
      <c r="AA329" s="5"/>
      <c r="AB329" s="5" t="s">
        <v>59</v>
      </c>
      <c r="AC329" s="5">
        <v>25</v>
      </c>
      <c r="AD329" s="5" t="s">
        <v>593</v>
      </c>
    </row>
    <row r="330" spans="1:30" s="6" customFormat="1" x14ac:dyDescent="0.2">
      <c r="A330" s="13">
        <v>328</v>
      </c>
      <c r="B330" s="5" t="s">
        <v>602</v>
      </c>
      <c r="C330" s="5" t="s">
        <v>602</v>
      </c>
      <c r="D330" s="5" t="s">
        <v>572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 t="s">
        <v>568</v>
      </c>
      <c r="S330" s="48"/>
      <c r="T330" s="38" t="s">
        <v>153</v>
      </c>
      <c r="U330" s="22" t="s">
        <v>439</v>
      </c>
      <c r="V330" s="5"/>
      <c r="W330" s="5"/>
      <c r="X330" s="5" t="s">
        <v>60</v>
      </c>
      <c r="Y330" s="5" t="s">
        <v>60</v>
      </c>
      <c r="Z330" s="5">
        <v>1</v>
      </c>
      <c r="AA330" s="5"/>
      <c r="AB330" s="5" t="s">
        <v>59</v>
      </c>
      <c r="AC330" s="5">
        <v>25</v>
      </c>
      <c r="AD330" s="5" t="s">
        <v>593</v>
      </c>
    </row>
    <row r="331" spans="1:30" s="6" customFormat="1" x14ac:dyDescent="0.2">
      <c r="A331" s="13">
        <v>329</v>
      </c>
      <c r="B331" s="5" t="s">
        <v>602</v>
      </c>
      <c r="C331" s="5" t="s">
        <v>602</v>
      </c>
      <c r="D331" s="5" t="s">
        <v>572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 t="s">
        <v>567</v>
      </c>
      <c r="S331" s="48"/>
      <c r="T331" s="38" t="s">
        <v>153</v>
      </c>
      <c r="U331" s="47" t="s">
        <v>440</v>
      </c>
      <c r="V331" s="5"/>
      <c r="W331" s="5"/>
      <c r="X331" s="5" t="s">
        <v>61</v>
      </c>
      <c r="Y331" s="5" t="s">
        <v>61</v>
      </c>
      <c r="Z331" s="5">
        <v>1</v>
      </c>
      <c r="AA331" s="5"/>
      <c r="AB331" s="5" t="s">
        <v>59</v>
      </c>
      <c r="AC331" s="5">
        <v>25</v>
      </c>
      <c r="AD331" s="5" t="s">
        <v>593</v>
      </c>
    </row>
    <row r="332" spans="1:30" s="46" customFormat="1" x14ac:dyDescent="0.2">
      <c r="A332" s="39">
        <v>330</v>
      </c>
      <c r="B332" s="40" t="s">
        <v>602</v>
      </c>
      <c r="C332" s="40" t="s">
        <v>608</v>
      </c>
      <c r="D332" s="40" t="s">
        <v>609</v>
      </c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 t="s">
        <v>620</v>
      </c>
      <c r="S332" s="52"/>
      <c r="T332" s="52" t="s">
        <v>626</v>
      </c>
      <c r="U332" s="51" t="s">
        <v>613</v>
      </c>
      <c r="V332" s="40"/>
      <c r="W332" s="40"/>
      <c r="X332" s="40" t="s">
        <v>62</v>
      </c>
      <c r="Y332" s="40" t="s">
        <v>62</v>
      </c>
      <c r="Z332" s="40"/>
      <c r="AA332" s="40" t="s">
        <v>177</v>
      </c>
      <c r="AB332" s="40"/>
      <c r="AC332" s="40">
        <v>25</v>
      </c>
      <c r="AD332" s="40" t="s">
        <v>610</v>
      </c>
    </row>
    <row r="333" spans="1:30" s="46" customFormat="1" x14ac:dyDescent="0.2">
      <c r="A333" s="39">
        <v>331</v>
      </c>
      <c r="B333" s="40" t="s">
        <v>602</v>
      </c>
      <c r="C333" s="40" t="s">
        <v>608</v>
      </c>
      <c r="D333" s="40" t="s">
        <v>580</v>
      </c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 t="s">
        <v>620</v>
      </c>
      <c r="S333" s="52"/>
      <c r="T333" s="52" t="s">
        <v>626</v>
      </c>
      <c r="U333" s="51" t="s">
        <v>613</v>
      </c>
      <c r="V333" s="40"/>
      <c r="W333" s="40"/>
      <c r="X333" s="40" t="s">
        <v>527</v>
      </c>
      <c r="Y333" s="40" t="s">
        <v>527</v>
      </c>
      <c r="Z333" s="40"/>
      <c r="AA333" s="40" t="s">
        <v>177</v>
      </c>
      <c r="AB333" s="40"/>
      <c r="AC333" s="40">
        <v>25</v>
      </c>
      <c r="AD333" s="40" t="s">
        <v>610</v>
      </c>
    </row>
    <row r="334" spans="1:30" s="46" customFormat="1" x14ac:dyDescent="0.2">
      <c r="A334" s="39">
        <v>332</v>
      </c>
      <c r="B334" s="40" t="s">
        <v>602</v>
      </c>
      <c r="C334" s="40" t="s">
        <v>608</v>
      </c>
      <c r="D334" s="40" t="s">
        <v>609</v>
      </c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 t="s">
        <v>621</v>
      </c>
      <c r="S334" s="52"/>
      <c r="T334" s="52" t="s">
        <v>626</v>
      </c>
      <c r="U334" s="51" t="s">
        <v>614</v>
      </c>
      <c r="V334" s="40"/>
      <c r="W334" s="40"/>
      <c r="X334" s="40" t="s">
        <v>397</v>
      </c>
      <c r="Y334" s="40" t="s">
        <v>397</v>
      </c>
      <c r="Z334" s="40"/>
      <c r="AA334" s="40" t="s">
        <v>177</v>
      </c>
      <c r="AB334" s="40"/>
      <c r="AC334" s="40">
        <v>25</v>
      </c>
      <c r="AD334" s="40" t="s">
        <v>610</v>
      </c>
    </row>
    <row r="335" spans="1:30" s="46" customFormat="1" x14ac:dyDescent="0.2">
      <c r="A335" s="39">
        <v>333</v>
      </c>
      <c r="B335" s="40" t="s">
        <v>602</v>
      </c>
      <c r="C335" s="40" t="s">
        <v>608</v>
      </c>
      <c r="D335" s="40" t="s">
        <v>580</v>
      </c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 t="s">
        <v>621</v>
      </c>
      <c r="S335" s="52"/>
      <c r="T335" s="52" t="s">
        <v>626</v>
      </c>
      <c r="U335" s="51" t="s">
        <v>614</v>
      </c>
      <c r="V335" s="40"/>
      <c r="W335" s="40"/>
      <c r="X335" s="40" t="s">
        <v>61</v>
      </c>
      <c r="Y335" s="40" t="s">
        <v>61</v>
      </c>
      <c r="Z335" s="40"/>
      <c r="AA335" s="40" t="s">
        <v>177</v>
      </c>
      <c r="AB335" s="40"/>
      <c r="AC335" s="40">
        <v>25</v>
      </c>
      <c r="AD335" s="40" t="s">
        <v>610</v>
      </c>
    </row>
    <row r="336" spans="1:30" s="46" customFormat="1" x14ac:dyDescent="0.2">
      <c r="A336" s="39">
        <v>334</v>
      </c>
      <c r="B336" s="40" t="s">
        <v>602</v>
      </c>
      <c r="C336" s="40" t="s">
        <v>608</v>
      </c>
      <c r="D336" s="40" t="s">
        <v>617</v>
      </c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 t="s">
        <v>622</v>
      </c>
      <c r="S336" s="52"/>
      <c r="T336" s="50"/>
      <c r="U336" s="51"/>
      <c r="V336" s="40"/>
      <c r="W336" s="40"/>
      <c r="X336" s="40" t="s">
        <v>177</v>
      </c>
      <c r="Y336" s="40" t="s">
        <v>177</v>
      </c>
      <c r="Z336" s="40"/>
      <c r="AA336" s="40" t="s">
        <v>177</v>
      </c>
      <c r="AB336" s="40"/>
      <c r="AC336" s="40">
        <v>25</v>
      </c>
      <c r="AD336" s="40" t="s">
        <v>618</v>
      </c>
    </row>
    <row r="337" spans="1:30" s="46" customFormat="1" x14ac:dyDescent="0.2">
      <c r="A337" s="39">
        <v>335</v>
      </c>
      <c r="B337" s="40" t="s">
        <v>602</v>
      </c>
      <c r="C337" s="40" t="s">
        <v>608</v>
      </c>
      <c r="D337" s="40" t="s">
        <v>560</v>
      </c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 t="s">
        <v>622</v>
      </c>
      <c r="S337" s="52"/>
      <c r="T337" s="50"/>
      <c r="U337" s="51"/>
      <c r="V337" s="40" t="s">
        <v>539</v>
      </c>
      <c r="W337" s="40">
        <v>4</v>
      </c>
      <c r="X337" s="40"/>
      <c r="Y337" s="40" t="s">
        <v>56</v>
      </c>
      <c r="Z337" s="40"/>
      <c r="AA337" s="40" t="s">
        <v>177</v>
      </c>
      <c r="AB337" s="40"/>
      <c r="AC337" s="40">
        <v>25</v>
      </c>
      <c r="AD337" s="40" t="s">
        <v>618</v>
      </c>
    </row>
    <row r="338" spans="1:30" s="46" customFormat="1" x14ac:dyDescent="0.2">
      <c r="A338" s="39">
        <v>336</v>
      </c>
      <c r="B338" s="40" t="s">
        <v>602</v>
      </c>
      <c r="C338" s="40" t="s">
        <v>608</v>
      </c>
      <c r="D338" s="40" t="s">
        <v>609</v>
      </c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 t="s">
        <v>660</v>
      </c>
      <c r="S338" s="52"/>
      <c r="T338" s="50"/>
      <c r="U338" s="51"/>
      <c r="V338" s="40"/>
      <c r="W338" s="40"/>
      <c r="X338" s="40" t="s">
        <v>397</v>
      </c>
      <c r="Y338" s="40" t="s">
        <v>397</v>
      </c>
      <c r="Z338" s="40"/>
      <c r="AA338" s="40" t="s">
        <v>177</v>
      </c>
      <c r="AB338" s="40"/>
      <c r="AC338" s="40">
        <v>25</v>
      </c>
      <c r="AD338" s="40" t="s">
        <v>659</v>
      </c>
    </row>
    <row r="339" spans="1:30" s="46" customFormat="1" x14ac:dyDescent="0.2">
      <c r="A339" s="39">
        <v>337</v>
      </c>
      <c r="B339" s="40" t="s">
        <v>602</v>
      </c>
      <c r="C339" s="40" t="s">
        <v>608</v>
      </c>
      <c r="D339" s="40" t="s">
        <v>580</v>
      </c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 t="s">
        <v>660</v>
      </c>
      <c r="S339" s="52"/>
      <c r="T339" s="50"/>
      <c r="U339" s="51"/>
      <c r="V339" s="40"/>
      <c r="W339" s="40"/>
      <c r="X339" s="40" t="s">
        <v>61</v>
      </c>
      <c r="Y339" s="40" t="s">
        <v>61</v>
      </c>
      <c r="Z339" s="40"/>
      <c r="AA339" s="40" t="s">
        <v>177</v>
      </c>
      <c r="AB339" s="40"/>
      <c r="AC339" s="40">
        <v>25</v>
      </c>
      <c r="AD339" s="40" t="s">
        <v>659</v>
      </c>
    </row>
    <row r="340" spans="1:30" s="46" customFormat="1" x14ac:dyDescent="0.2">
      <c r="A340" s="39">
        <v>338</v>
      </c>
      <c r="B340" s="40" t="s">
        <v>602</v>
      </c>
      <c r="C340" s="40" t="s">
        <v>608</v>
      </c>
      <c r="D340" s="40" t="s">
        <v>609</v>
      </c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 t="s">
        <v>661</v>
      </c>
      <c r="S340" s="52"/>
      <c r="T340" s="50"/>
      <c r="U340" s="51"/>
      <c r="V340" s="40"/>
      <c r="W340" s="40"/>
      <c r="X340" s="40" t="s">
        <v>62</v>
      </c>
      <c r="Y340" s="40" t="s">
        <v>62</v>
      </c>
      <c r="Z340" s="40"/>
      <c r="AA340" s="40" t="s">
        <v>177</v>
      </c>
      <c r="AB340" s="40"/>
      <c r="AC340" s="40">
        <v>25</v>
      </c>
      <c r="AD340" s="40" t="s">
        <v>659</v>
      </c>
    </row>
    <row r="341" spans="1:30" s="46" customFormat="1" x14ac:dyDescent="0.2">
      <c r="A341" s="39">
        <v>339</v>
      </c>
      <c r="B341" s="40" t="s">
        <v>602</v>
      </c>
      <c r="C341" s="40" t="s">
        <v>608</v>
      </c>
      <c r="D341" s="40" t="s">
        <v>580</v>
      </c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 t="s">
        <v>661</v>
      </c>
      <c r="S341" s="52"/>
      <c r="T341" s="50"/>
      <c r="U341" s="51"/>
      <c r="V341" s="40"/>
      <c r="W341" s="40"/>
      <c r="X341" s="40" t="s">
        <v>527</v>
      </c>
      <c r="Y341" s="40" t="s">
        <v>527</v>
      </c>
      <c r="Z341" s="40"/>
      <c r="AA341" s="40" t="s">
        <v>177</v>
      </c>
      <c r="AB341" s="40"/>
      <c r="AC341" s="40">
        <v>25</v>
      </c>
      <c r="AD341" s="40" t="s">
        <v>659</v>
      </c>
    </row>
    <row r="342" spans="1:30" s="46" customFormat="1" x14ac:dyDescent="0.2">
      <c r="A342" s="39">
        <v>340</v>
      </c>
      <c r="B342" s="40" t="s">
        <v>602</v>
      </c>
      <c r="C342" s="40" t="s">
        <v>608</v>
      </c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 t="s">
        <v>657</v>
      </c>
      <c r="S342" s="52"/>
      <c r="T342" s="50"/>
      <c r="U342" s="51"/>
      <c r="V342" s="40"/>
      <c r="W342" s="40"/>
      <c r="X342" s="40" t="s">
        <v>61</v>
      </c>
      <c r="Y342" s="40" t="s">
        <v>61</v>
      </c>
      <c r="Z342" s="40"/>
      <c r="AA342" s="40" t="s">
        <v>177</v>
      </c>
      <c r="AB342" s="40"/>
      <c r="AC342" s="40">
        <v>25</v>
      </c>
      <c r="AD342" s="40" t="s">
        <v>659</v>
      </c>
    </row>
    <row r="343" spans="1:30" s="46" customFormat="1" x14ac:dyDescent="0.2">
      <c r="A343" s="39">
        <v>341</v>
      </c>
      <c r="B343" s="40" t="s">
        <v>602</v>
      </c>
      <c r="C343" s="40" t="s">
        <v>608</v>
      </c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 t="s">
        <v>658</v>
      </c>
      <c r="S343" s="52"/>
      <c r="T343" s="50"/>
      <c r="U343" s="51"/>
      <c r="V343" s="40"/>
      <c r="W343" s="40"/>
      <c r="X343" s="40" t="s">
        <v>527</v>
      </c>
      <c r="Y343" s="40" t="s">
        <v>527</v>
      </c>
      <c r="Z343" s="40"/>
      <c r="AA343" s="40" t="s">
        <v>177</v>
      </c>
      <c r="AB343" s="40"/>
      <c r="AC343" s="40">
        <v>25</v>
      </c>
      <c r="AD343" s="40" t="s">
        <v>659</v>
      </c>
    </row>
    <row r="344" spans="1:30" s="6" customFormat="1" x14ac:dyDescent="0.2">
      <c r="A344" s="13">
        <v>342</v>
      </c>
      <c r="B344" s="5" t="s">
        <v>601</v>
      </c>
      <c r="C344" s="5" t="s">
        <v>601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 t="s">
        <v>573</v>
      </c>
      <c r="S344" s="48"/>
      <c r="T344" s="48"/>
      <c r="U344" s="22"/>
      <c r="V344" s="5"/>
      <c r="W344" s="5"/>
      <c r="X344" s="5" t="s">
        <v>65</v>
      </c>
      <c r="Y344" s="5" t="s">
        <v>65</v>
      </c>
      <c r="Z344" s="5"/>
      <c r="AA344" s="5"/>
      <c r="AB344" s="5" t="s">
        <v>583</v>
      </c>
      <c r="AC344" s="5">
        <v>26</v>
      </c>
      <c r="AD344" s="5" t="s">
        <v>596</v>
      </c>
    </row>
    <row r="345" spans="1:30" x14ac:dyDescent="0.2">
      <c r="A345" s="13">
        <v>343</v>
      </c>
      <c r="B345" s="5" t="s">
        <v>601</v>
      </c>
      <c r="C345" s="5" t="s">
        <v>601</v>
      </c>
      <c r="R345" s="1" t="s">
        <v>574</v>
      </c>
      <c r="S345" s="38"/>
      <c r="T345" s="38"/>
      <c r="U345" s="47"/>
      <c r="X345" s="1" t="s">
        <v>72</v>
      </c>
      <c r="Y345" s="1" t="s">
        <v>72</v>
      </c>
      <c r="AB345" s="5" t="s">
        <v>583</v>
      </c>
      <c r="AC345" s="5">
        <v>26</v>
      </c>
      <c r="AD345" s="5" t="s">
        <v>596</v>
      </c>
    </row>
    <row r="346" spans="1:30" x14ac:dyDescent="0.2">
      <c r="A346" s="13">
        <v>344</v>
      </c>
      <c r="B346" s="5" t="s">
        <v>601</v>
      </c>
      <c r="C346" s="5" t="s">
        <v>601</v>
      </c>
      <c r="D346" s="1" t="s">
        <v>575</v>
      </c>
      <c r="R346" s="5" t="s">
        <v>573</v>
      </c>
      <c r="S346" s="38"/>
      <c r="T346" s="38" t="s">
        <v>626</v>
      </c>
      <c r="U346" s="22" t="s">
        <v>615</v>
      </c>
      <c r="X346" s="1" t="s">
        <v>397</v>
      </c>
      <c r="Y346" s="1" t="s">
        <v>397</v>
      </c>
      <c r="AB346" s="5" t="s">
        <v>584</v>
      </c>
      <c r="AC346" s="5">
        <v>26</v>
      </c>
      <c r="AD346" s="5" t="s">
        <v>596</v>
      </c>
    </row>
    <row r="347" spans="1:30" x14ac:dyDescent="0.2">
      <c r="A347" s="13">
        <v>345</v>
      </c>
      <c r="B347" s="5" t="s">
        <v>601</v>
      </c>
      <c r="C347" s="5" t="s">
        <v>601</v>
      </c>
      <c r="D347" s="1" t="s">
        <v>575</v>
      </c>
      <c r="R347" s="1" t="s">
        <v>585</v>
      </c>
      <c r="S347" s="38"/>
      <c r="T347" s="38" t="s">
        <v>626</v>
      </c>
      <c r="U347" s="22" t="s">
        <v>616</v>
      </c>
      <c r="X347" s="1" t="s">
        <v>62</v>
      </c>
      <c r="Y347" s="1" t="s">
        <v>62</v>
      </c>
      <c r="AB347" s="5" t="s">
        <v>584</v>
      </c>
      <c r="AC347" s="5">
        <v>26</v>
      </c>
      <c r="AD347" s="5" t="s">
        <v>596</v>
      </c>
    </row>
    <row r="348" spans="1:30" x14ac:dyDescent="0.2">
      <c r="A348" s="13">
        <v>346</v>
      </c>
      <c r="B348" s="5" t="s">
        <v>601</v>
      </c>
      <c r="C348" s="5" t="s">
        <v>601</v>
      </c>
      <c r="R348" s="1" t="s">
        <v>586</v>
      </c>
      <c r="S348" s="38"/>
      <c r="T348" s="38"/>
      <c r="U348" s="47"/>
      <c r="X348" s="1" t="s">
        <v>74</v>
      </c>
      <c r="Y348" s="1" t="s">
        <v>74</v>
      </c>
      <c r="AB348" s="5" t="s">
        <v>583</v>
      </c>
      <c r="AC348" s="5">
        <v>26</v>
      </c>
      <c r="AD348" s="5" t="s">
        <v>597</v>
      </c>
    </row>
    <row r="349" spans="1:30" x14ac:dyDescent="0.2">
      <c r="A349" s="13">
        <v>347</v>
      </c>
      <c r="B349" s="5" t="s">
        <v>601</v>
      </c>
      <c r="C349" s="5" t="s">
        <v>601</v>
      </c>
      <c r="R349" s="1" t="s">
        <v>587</v>
      </c>
      <c r="S349" s="38"/>
      <c r="T349" s="38"/>
      <c r="U349" s="47"/>
      <c r="X349" s="1" t="s">
        <v>291</v>
      </c>
      <c r="Y349" s="1" t="s">
        <v>291</v>
      </c>
      <c r="AB349" s="5" t="s">
        <v>583</v>
      </c>
      <c r="AC349" s="5">
        <v>26</v>
      </c>
      <c r="AD349" s="5" t="s">
        <v>597</v>
      </c>
    </row>
    <row r="350" spans="1:30" x14ac:dyDescent="0.2">
      <c r="A350" s="13">
        <v>348</v>
      </c>
      <c r="B350" s="5" t="s">
        <v>601</v>
      </c>
      <c r="C350" s="5" t="s">
        <v>601</v>
      </c>
      <c r="R350" s="1" t="s">
        <v>588</v>
      </c>
      <c r="S350" s="38"/>
      <c r="T350" s="38"/>
      <c r="U350" s="47"/>
      <c r="V350" s="1" t="s">
        <v>538</v>
      </c>
      <c r="W350" s="1">
        <v>4</v>
      </c>
      <c r="Y350" s="1" t="s">
        <v>56</v>
      </c>
      <c r="AC350" s="5">
        <v>26</v>
      </c>
      <c r="AD350" s="5" t="s">
        <v>594</v>
      </c>
    </row>
    <row r="351" spans="1:30" x14ac:dyDescent="0.2">
      <c r="A351" s="13">
        <v>349</v>
      </c>
      <c r="B351" s="5" t="s">
        <v>601</v>
      </c>
      <c r="C351" s="5" t="s">
        <v>601</v>
      </c>
      <c r="G351" s="1" t="s">
        <v>242</v>
      </c>
      <c r="H351" s="1" t="s">
        <v>77</v>
      </c>
      <c r="R351" s="1" t="s">
        <v>589</v>
      </c>
      <c r="S351" s="38"/>
      <c r="T351" s="38"/>
      <c r="U351" s="47"/>
      <c r="X351" s="1" t="s">
        <v>397</v>
      </c>
      <c r="Y351" s="1" t="s">
        <v>397</v>
      </c>
      <c r="AC351" s="5">
        <v>26</v>
      </c>
      <c r="AD351" s="5" t="s">
        <v>594</v>
      </c>
    </row>
    <row r="352" spans="1:30" x14ac:dyDescent="0.2">
      <c r="A352" s="13">
        <v>350</v>
      </c>
      <c r="B352" s="5" t="s">
        <v>601</v>
      </c>
      <c r="C352" s="5" t="s">
        <v>601</v>
      </c>
      <c r="G352" s="1" t="s">
        <v>36</v>
      </c>
      <c r="H352" s="1" t="s">
        <v>77</v>
      </c>
      <c r="R352" s="1" t="s">
        <v>590</v>
      </c>
      <c r="S352" s="38"/>
      <c r="T352" s="38"/>
      <c r="U352" s="47"/>
      <c r="X352" s="1" t="s">
        <v>62</v>
      </c>
      <c r="Y352" s="1" t="s">
        <v>62</v>
      </c>
      <c r="AC352" s="5">
        <v>26</v>
      </c>
      <c r="AD352" s="5" t="s">
        <v>594</v>
      </c>
    </row>
    <row r="353" spans="1:30" x14ac:dyDescent="0.2">
      <c r="A353" s="13">
        <v>351</v>
      </c>
      <c r="B353" s="5" t="s">
        <v>601</v>
      </c>
      <c r="C353" s="5" t="s">
        <v>601</v>
      </c>
      <c r="D353" s="1" t="s">
        <v>572</v>
      </c>
      <c r="G353" s="1" t="s">
        <v>242</v>
      </c>
      <c r="H353" s="1" t="s">
        <v>77</v>
      </c>
      <c r="R353" s="1" t="s">
        <v>589</v>
      </c>
      <c r="S353" s="48"/>
      <c r="T353" s="38" t="s">
        <v>626</v>
      </c>
      <c r="U353" s="47" t="s">
        <v>627</v>
      </c>
      <c r="V353" s="5"/>
      <c r="W353" s="5"/>
      <c r="X353" s="5" t="s">
        <v>58</v>
      </c>
      <c r="Y353" s="5" t="s">
        <v>58</v>
      </c>
      <c r="AB353" s="5" t="s">
        <v>59</v>
      </c>
      <c r="AC353" s="5">
        <v>26</v>
      </c>
      <c r="AD353" s="5" t="s">
        <v>594</v>
      </c>
    </row>
    <row r="354" spans="1:30" x14ac:dyDescent="0.2">
      <c r="A354" s="13">
        <v>352</v>
      </c>
      <c r="B354" s="5" t="s">
        <v>601</v>
      </c>
      <c r="C354" s="5" t="s">
        <v>601</v>
      </c>
      <c r="D354" s="1" t="s">
        <v>572</v>
      </c>
      <c r="G354" s="1" t="s">
        <v>36</v>
      </c>
      <c r="H354" s="1" t="s">
        <v>77</v>
      </c>
      <c r="R354" s="1" t="s">
        <v>590</v>
      </c>
      <c r="S354" s="48"/>
      <c r="T354" s="38" t="s">
        <v>626</v>
      </c>
      <c r="U354" s="47" t="s">
        <v>627</v>
      </c>
      <c r="V354" s="5"/>
      <c r="W354" s="5"/>
      <c r="X354" s="5" t="s">
        <v>58</v>
      </c>
      <c r="Y354" s="5" t="s">
        <v>58</v>
      </c>
      <c r="AB354" s="5" t="s">
        <v>59</v>
      </c>
      <c r="AC354" s="5">
        <v>26</v>
      </c>
      <c r="AD354" s="5" t="s">
        <v>594</v>
      </c>
    </row>
    <row r="355" spans="1:30" x14ac:dyDescent="0.2">
      <c r="A355" s="13">
        <v>353</v>
      </c>
      <c r="B355" s="5" t="s">
        <v>601</v>
      </c>
      <c r="C355" s="5" t="s">
        <v>601</v>
      </c>
      <c r="D355" s="1" t="s">
        <v>572</v>
      </c>
      <c r="G355" s="1" t="s">
        <v>242</v>
      </c>
      <c r="H355" s="1" t="s">
        <v>77</v>
      </c>
      <c r="R355" s="1" t="s">
        <v>589</v>
      </c>
      <c r="S355" s="48"/>
      <c r="T355" s="38" t="s">
        <v>626</v>
      </c>
      <c r="U355" s="22" t="s">
        <v>628</v>
      </c>
      <c r="V355" s="5"/>
      <c r="W355" s="5"/>
      <c r="X355" s="5" t="s">
        <v>60</v>
      </c>
      <c r="Y355" s="5" t="s">
        <v>60</v>
      </c>
      <c r="AB355" s="5" t="s">
        <v>59</v>
      </c>
      <c r="AC355" s="5">
        <v>26</v>
      </c>
      <c r="AD355" s="5" t="s">
        <v>594</v>
      </c>
    </row>
    <row r="356" spans="1:30" x14ac:dyDescent="0.2">
      <c r="A356" s="13">
        <v>354</v>
      </c>
      <c r="B356" s="5" t="s">
        <v>601</v>
      </c>
      <c r="C356" s="5" t="s">
        <v>601</v>
      </c>
      <c r="D356" s="1" t="s">
        <v>572</v>
      </c>
      <c r="G356" s="1" t="s">
        <v>36</v>
      </c>
      <c r="H356" s="1" t="s">
        <v>77</v>
      </c>
      <c r="R356" s="1" t="s">
        <v>590</v>
      </c>
      <c r="S356" s="48"/>
      <c r="T356" s="38" t="s">
        <v>626</v>
      </c>
      <c r="U356" s="22" t="s">
        <v>628</v>
      </c>
      <c r="V356" s="5"/>
      <c r="W356" s="5"/>
      <c r="X356" s="5" t="s">
        <v>60</v>
      </c>
      <c r="Y356" s="5" t="s">
        <v>60</v>
      </c>
      <c r="AB356" s="5" t="s">
        <v>59</v>
      </c>
      <c r="AC356" s="5">
        <v>26</v>
      </c>
      <c r="AD356" s="5" t="s">
        <v>594</v>
      </c>
    </row>
    <row r="357" spans="1:30" x14ac:dyDescent="0.2">
      <c r="A357" s="13">
        <v>355</v>
      </c>
      <c r="B357" s="5" t="s">
        <v>601</v>
      </c>
      <c r="C357" s="5" t="s">
        <v>601</v>
      </c>
      <c r="D357" s="1" t="s">
        <v>572</v>
      </c>
      <c r="G357" s="1" t="s">
        <v>36</v>
      </c>
      <c r="H357" s="1" t="s">
        <v>77</v>
      </c>
      <c r="R357" s="1" t="s">
        <v>590</v>
      </c>
      <c r="S357" s="48"/>
      <c r="T357" s="38" t="s">
        <v>626</v>
      </c>
      <c r="U357" s="47" t="s">
        <v>629</v>
      </c>
      <c r="V357" s="5"/>
      <c r="W357" s="5"/>
      <c r="X357" s="5" t="s">
        <v>61</v>
      </c>
      <c r="Y357" s="5" t="s">
        <v>61</v>
      </c>
      <c r="AB357" s="5" t="s">
        <v>59</v>
      </c>
      <c r="AC357" s="5">
        <v>26</v>
      </c>
      <c r="AD357" s="5" t="s">
        <v>594</v>
      </c>
    </row>
    <row r="358" spans="1:30" x14ac:dyDescent="0.2">
      <c r="A358" s="13">
        <v>356</v>
      </c>
      <c r="B358" s="5" t="s">
        <v>601</v>
      </c>
      <c r="C358" s="5" t="s">
        <v>601</v>
      </c>
      <c r="D358" s="5" t="s">
        <v>557</v>
      </c>
      <c r="I358" s="1" t="s">
        <v>17</v>
      </c>
      <c r="J358" s="1" t="s">
        <v>131</v>
      </c>
      <c r="R358" s="1" t="s">
        <v>589</v>
      </c>
      <c r="S358" s="38" t="s">
        <v>644</v>
      </c>
      <c r="T358" s="38"/>
      <c r="U358" s="47"/>
      <c r="V358" s="5" t="s">
        <v>516</v>
      </c>
      <c r="W358" s="1" t="s">
        <v>591</v>
      </c>
      <c r="Y358" s="1" t="s">
        <v>323</v>
      </c>
      <c r="AC358" s="5">
        <v>26</v>
      </c>
      <c r="AD358" s="5" t="s">
        <v>594</v>
      </c>
    </row>
    <row r="359" spans="1:30" x14ac:dyDescent="0.2">
      <c r="A359" s="13">
        <v>357</v>
      </c>
      <c r="B359" s="5" t="s">
        <v>601</v>
      </c>
      <c r="C359" s="5" t="s">
        <v>601</v>
      </c>
      <c r="D359" s="5"/>
      <c r="I359" s="1" t="s">
        <v>17</v>
      </c>
      <c r="J359" s="1" t="s">
        <v>131</v>
      </c>
      <c r="R359" s="1" t="s">
        <v>590</v>
      </c>
      <c r="S359" s="38" t="s">
        <v>644</v>
      </c>
      <c r="T359" s="38"/>
      <c r="U359" s="47"/>
      <c r="V359" s="5" t="s">
        <v>516</v>
      </c>
      <c r="W359" s="1" t="s">
        <v>591</v>
      </c>
      <c r="Y359" s="1" t="s">
        <v>323</v>
      </c>
      <c r="AC359" s="5">
        <v>26</v>
      </c>
      <c r="AD359" s="5" t="s">
        <v>594</v>
      </c>
    </row>
    <row r="360" spans="1:30" x14ac:dyDescent="0.2">
      <c r="A360" s="13">
        <v>358</v>
      </c>
      <c r="B360" s="5" t="s">
        <v>601</v>
      </c>
      <c r="C360" s="5" t="s">
        <v>601</v>
      </c>
      <c r="D360" s="5" t="s">
        <v>555</v>
      </c>
      <c r="I360" s="1" t="s">
        <v>17</v>
      </c>
      <c r="J360" s="1" t="s">
        <v>131</v>
      </c>
      <c r="R360" s="1" t="s">
        <v>589</v>
      </c>
      <c r="S360" s="38"/>
      <c r="T360" s="38"/>
      <c r="U360" s="47"/>
      <c r="V360" s="5" t="s">
        <v>516</v>
      </c>
      <c r="W360" s="1" t="s">
        <v>591</v>
      </c>
      <c r="Y360" s="1" t="s">
        <v>323</v>
      </c>
      <c r="AC360" s="5">
        <v>26</v>
      </c>
      <c r="AD360" s="5" t="s">
        <v>594</v>
      </c>
    </row>
    <row r="361" spans="1:30" x14ac:dyDescent="0.2">
      <c r="A361" s="13">
        <v>359</v>
      </c>
      <c r="B361" s="5" t="s">
        <v>601</v>
      </c>
      <c r="C361" s="5" t="s">
        <v>601</v>
      </c>
      <c r="I361" s="1" t="s">
        <v>17</v>
      </c>
      <c r="J361" s="1" t="s">
        <v>131</v>
      </c>
      <c r="R361" s="1" t="s">
        <v>590</v>
      </c>
      <c r="S361" s="38"/>
      <c r="T361" s="38"/>
      <c r="U361" s="47"/>
      <c r="V361" s="5" t="s">
        <v>516</v>
      </c>
      <c r="W361" s="1" t="s">
        <v>591</v>
      </c>
      <c r="Y361" s="1" t="s">
        <v>323</v>
      </c>
      <c r="AC361" s="5">
        <v>26</v>
      </c>
      <c r="AD361" s="5" t="s">
        <v>594</v>
      </c>
    </row>
    <row r="362" spans="1:30" x14ac:dyDescent="0.2">
      <c r="A362" s="13">
        <v>360</v>
      </c>
      <c r="B362" s="5" t="s">
        <v>601</v>
      </c>
      <c r="C362" s="5" t="s">
        <v>600</v>
      </c>
      <c r="D362" s="5" t="s">
        <v>57</v>
      </c>
      <c r="R362" s="1" t="s">
        <v>589</v>
      </c>
      <c r="S362" s="38"/>
      <c r="T362" s="38"/>
      <c r="U362" s="47"/>
      <c r="X362" s="5" t="s">
        <v>25</v>
      </c>
      <c r="Y362" s="5" t="s">
        <v>25</v>
      </c>
      <c r="Z362" s="5"/>
      <c r="AA362" s="5"/>
      <c r="AB362" s="5"/>
      <c r="AC362" s="5">
        <v>26</v>
      </c>
      <c r="AD362" s="5"/>
    </row>
    <row r="363" spans="1:30" x14ac:dyDescent="0.2">
      <c r="A363" s="13">
        <v>361</v>
      </c>
      <c r="B363" s="5" t="s">
        <v>601</v>
      </c>
      <c r="C363" s="5" t="s">
        <v>608</v>
      </c>
      <c r="D363" s="5" t="s">
        <v>554</v>
      </c>
      <c r="R363" s="1" t="s">
        <v>589</v>
      </c>
      <c r="S363" s="38"/>
      <c r="T363" s="38"/>
      <c r="U363" s="47"/>
      <c r="X363" s="5" t="s">
        <v>44</v>
      </c>
      <c r="Y363" s="5" t="s">
        <v>44</v>
      </c>
      <c r="Z363" s="5"/>
      <c r="AA363" s="5" t="s">
        <v>177</v>
      </c>
      <c r="AB363" s="5"/>
      <c r="AC363" s="5">
        <v>26</v>
      </c>
      <c r="AD363" s="5" t="s">
        <v>595</v>
      </c>
    </row>
    <row r="364" spans="1:30" x14ac:dyDescent="0.2">
      <c r="A364" s="13">
        <v>362</v>
      </c>
      <c r="B364" s="5" t="s">
        <v>601</v>
      </c>
      <c r="C364" s="5" t="s">
        <v>600</v>
      </c>
      <c r="D364" s="1" t="s">
        <v>85</v>
      </c>
      <c r="R364" s="1" t="s">
        <v>589</v>
      </c>
      <c r="S364" s="38"/>
      <c r="T364" s="38"/>
      <c r="U364" s="47"/>
      <c r="X364" s="1" t="s">
        <v>25</v>
      </c>
      <c r="Y364" s="1" t="s">
        <v>25</v>
      </c>
      <c r="Z364" s="5"/>
      <c r="AA364" s="5"/>
      <c r="AB364" s="5" t="s">
        <v>86</v>
      </c>
      <c r="AC364" s="5">
        <v>26</v>
      </c>
      <c r="AD364" s="5" t="s">
        <v>595</v>
      </c>
    </row>
    <row r="365" spans="1:30" x14ac:dyDescent="0.2">
      <c r="A365" s="13">
        <v>363</v>
      </c>
      <c r="B365" s="5" t="s">
        <v>601</v>
      </c>
      <c r="C365" s="5" t="s">
        <v>608</v>
      </c>
      <c r="D365" s="1" t="s">
        <v>87</v>
      </c>
      <c r="R365" s="1" t="s">
        <v>589</v>
      </c>
      <c r="S365" s="38"/>
      <c r="T365" s="38"/>
      <c r="U365" s="47"/>
      <c r="X365" s="1" t="s">
        <v>44</v>
      </c>
      <c r="Y365" s="1" t="s">
        <v>44</v>
      </c>
      <c r="Z365" s="5"/>
      <c r="AA365" s="5" t="s">
        <v>177</v>
      </c>
      <c r="AB365" s="5"/>
      <c r="AC365" s="5">
        <v>26</v>
      </c>
      <c r="AD365" s="5" t="s">
        <v>595</v>
      </c>
    </row>
    <row r="366" spans="1:30" x14ac:dyDescent="0.2">
      <c r="A366" s="13">
        <v>364</v>
      </c>
      <c r="B366" s="5" t="s">
        <v>601</v>
      </c>
      <c r="C366" s="5" t="s">
        <v>600</v>
      </c>
      <c r="D366" s="1" t="s">
        <v>88</v>
      </c>
      <c r="R366" s="1" t="s">
        <v>589</v>
      </c>
      <c r="S366" s="38"/>
      <c r="T366" s="38"/>
      <c r="U366" s="47"/>
      <c r="X366" s="1" t="s">
        <v>89</v>
      </c>
      <c r="Y366" s="1" t="s">
        <v>89</v>
      </c>
      <c r="Z366" s="5"/>
      <c r="AA366" s="5"/>
      <c r="AB366" s="5" t="s">
        <v>90</v>
      </c>
      <c r="AC366" s="5">
        <v>26</v>
      </c>
      <c r="AD366" s="5" t="s">
        <v>595</v>
      </c>
    </row>
    <row r="367" spans="1:30" x14ac:dyDescent="0.2">
      <c r="A367" s="13">
        <v>365</v>
      </c>
      <c r="B367" s="5" t="s">
        <v>601</v>
      </c>
      <c r="C367" s="5" t="s">
        <v>608</v>
      </c>
      <c r="D367" s="1" t="s">
        <v>91</v>
      </c>
      <c r="R367" s="1" t="s">
        <v>589</v>
      </c>
      <c r="S367" s="38"/>
      <c r="T367" s="38"/>
      <c r="U367" s="47"/>
      <c r="X367" s="1" t="s">
        <v>92</v>
      </c>
      <c r="Y367" s="1" t="s">
        <v>92</v>
      </c>
      <c r="Z367" s="5"/>
      <c r="AA367" s="5" t="s">
        <v>177</v>
      </c>
      <c r="AB367" s="5"/>
      <c r="AC367" s="5">
        <v>26</v>
      </c>
      <c r="AD367" s="5" t="s">
        <v>595</v>
      </c>
    </row>
    <row r="368" spans="1:30" x14ac:dyDescent="0.2">
      <c r="A368" s="13">
        <v>366</v>
      </c>
      <c r="B368" s="5" t="s">
        <v>601</v>
      </c>
      <c r="C368" s="5" t="s">
        <v>600</v>
      </c>
      <c r="D368" s="1" t="s">
        <v>93</v>
      </c>
      <c r="R368" s="1" t="s">
        <v>589</v>
      </c>
      <c r="S368" s="38"/>
      <c r="T368" s="38"/>
      <c r="U368" s="47"/>
      <c r="X368" s="1" t="s">
        <v>94</v>
      </c>
      <c r="Y368" s="1" t="s">
        <v>94</v>
      </c>
      <c r="Z368" s="5"/>
      <c r="AA368" s="5"/>
      <c r="AB368" s="5" t="s">
        <v>95</v>
      </c>
      <c r="AC368" s="5">
        <v>26</v>
      </c>
      <c r="AD368" s="5" t="s">
        <v>595</v>
      </c>
    </row>
    <row r="369" spans="1:30" x14ac:dyDescent="0.2">
      <c r="A369" s="13">
        <v>367</v>
      </c>
      <c r="B369" s="5" t="s">
        <v>601</v>
      </c>
      <c r="C369" s="5" t="s">
        <v>608</v>
      </c>
      <c r="D369" s="1" t="s">
        <v>96</v>
      </c>
      <c r="R369" s="1" t="s">
        <v>589</v>
      </c>
      <c r="S369" s="38"/>
      <c r="T369" s="38"/>
      <c r="U369" s="47"/>
      <c r="X369" s="1" t="s">
        <v>97</v>
      </c>
      <c r="Y369" s="1" t="s">
        <v>97</v>
      </c>
      <c r="Z369" s="5"/>
      <c r="AA369" s="5" t="s">
        <v>177</v>
      </c>
      <c r="AB369" s="5"/>
      <c r="AC369" s="5">
        <v>26</v>
      </c>
      <c r="AD369" s="5" t="s">
        <v>595</v>
      </c>
    </row>
    <row r="370" spans="1:30" x14ac:dyDescent="0.2">
      <c r="A370" s="13">
        <v>368</v>
      </c>
      <c r="B370" s="5" t="s">
        <v>601</v>
      </c>
      <c r="C370" s="5" t="s">
        <v>600</v>
      </c>
      <c r="D370" s="5" t="s">
        <v>57</v>
      </c>
      <c r="R370" s="1" t="s">
        <v>590</v>
      </c>
      <c r="S370" s="38"/>
      <c r="T370" s="38"/>
      <c r="U370" s="47"/>
      <c r="X370" s="5" t="s">
        <v>25</v>
      </c>
      <c r="Y370" s="5" t="s">
        <v>25</v>
      </c>
      <c r="Z370" s="5"/>
      <c r="AA370" s="5"/>
      <c r="AB370" s="5"/>
      <c r="AC370" s="5">
        <v>26</v>
      </c>
      <c r="AD370" s="5" t="s">
        <v>595</v>
      </c>
    </row>
    <row r="371" spans="1:30" x14ac:dyDescent="0.2">
      <c r="A371" s="13">
        <v>369</v>
      </c>
      <c r="B371" s="5" t="s">
        <v>601</v>
      </c>
      <c r="C371" s="5" t="s">
        <v>608</v>
      </c>
      <c r="D371" s="5" t="s">
        <v>554</v>
      </c>
      <c r="R371" s="1" t="s">
        <v>590</v>
      </c>
      <c r="S371" s="38"/>
      <c r="T371" s="38"/>
      <c r="U371" s="47"/>
      <c r="X371" s="5" t="s">
        <v>44</v>
      </c>
      <c r="Y371" s="5" t="s">
        <v>44</v>
      </c>
      <c r="Z371" s="5"/>
      <c r="AA371" s="5" t="s">
        <v>177</v>
      </c>
      <c r="AB371" s="5"/>
      <c r="AC371" s="5">
        <v>26</v>
      </c>
      <c r="AD371" s="5" t="s">
        <v>595</v>
      </c>
    </row>
    <row r="372" spans="1:30" x14ac:dyDescent="0.2">
      <c r="A372" s="13">
        <v>370</v>
      </c>
      <c r="B372" s="5" t="s">
        <v>601</v>
      </c>
      <c r="C372" s="5" t="s">
        <v>600</v>
      </c>
      <c r="D372" s="1" t="s">
        <v>85</v>
      </c>
      <c r="R372" s="1" t="s">
        <v>590</v>
      </c>
      <c r="S372" s="38"/>
      <c r="T372" s="38"/>
      <c r="U372" s="47"/>
      <c r="X372" s="1" t="s">
        <v>25</v>
      </c>
      <c r="Y372" s="1" t="s">
        <v>25</v>
      </c>
      <c r="Z372" s="5"/>
      <c r="AA372" s="5"/>
      <c r="AB372" s="5" t="s">
        <v>86</v>
      </c>
      <c r="AC372" s="5">
        <v>26</v>
      </c>
      <c r="AD372" s="5" t="s">
        <v>595</v>
      </c>
    </row>
    <row r="373" spans="1:30" x14ac:dyDescent="0.2">
      <c r="A373" s="13">
        <v>371</v>
      </c>
      <c r="B373" s="5" t="s">
        <v>601</v>
      </c>
      <c r="C373" s="5" t="s">
        <v>608</v>
      </c>
      <c r="D373" s="1" t="s">
        <v>87</v>
      </c>
      <c r="R373" s="1" t="s">
        <v>590</v>
      </c>
      <c r="S373" s="38"/>
      <c r="T373" s="38"/>
      <c r="U373" s="47"/>
      <c r="X373" s="1" t="s">
        <v>44</v>
      </c>
      <c r="Y373" s="1" t="s">
        <v>44</v>
      </c>
      <c r="Z373" s="5"/>
      <c r="AA373" s="5" t="s">
        <v>177</v>
      </c>
      <c r="AB373" s="5"/>
      <c r="AC373" s="5">
        <v>26</v>
      </c>
      <c r="AD373" s="5" t="s">
        <v>595</v>
      </c>
    </row>
    <row r="374" spans="1:30" x14ac:dyDescent="0.2">
      <c r="A374" s="13">
        <v>372</v>
      </c>
      <c r="B374" s="5" t="s">
        <v>601</v>
      </c>
      <c r="C374" s="5" t="s">
        <v>600</v>
      </c>
      <c r="D374" s="1" t="s">
        <v>88</v>
      </c>
      <c r="R374" s="1" t="s">
        <v>590</v>
      </c>
      <c r="S374" s="38"/>
      <c r="T374" s="38"/>
      <c r="U374" s="47"/>
      <c r="X374" s="1" t="s">
        <v>89</v>
      </c>
      <c r="Y374" s="1" t="s">
        <v>89</v>
      </c>
      <c r="Z374" s="5"/>
      <c r="AA374" s="5"/>
      <c r="AB374" s="5" t="s">
        <v>90</v>
      </c>
      <c r="AC374" s="5">
        <v>26</v>
      </c>
      <c r="AD374" s="5" t="s">
        <v>595</v>
      </c>
    </row>
    <row r="375" spans="1:30" x14ac:dyDescent="0.2">
      <c r="A375" s="13">
        <v>373</v>
      </c>
      <c r="B375" s="5" t="s">
        <v>601</v>
      </c>
      <c r="C375" s="5" t="s">
        <v>608</v>
      </c>
      <c r="D375" s="1" t="s">
        <v>91</v>
      </c>
      <c r="R375" s="1" t="s">
        <v>590</v>
      </c>
      <c r="S375" s="38"/>
      <c r="T375" s="38"/>
      <c r="U375" s="47"/>
      <c r="X375" s="1" t="s">
        <v>92</v>
      </c>
      <c r="Y375" s="1" t="s">
        <v>92</v>
      </c>
      <c r="Z375" s="5"/>
      <c r="AA375" s="5" t="s">
        <v>177</v>
      </c>
      <c r="AB375" s="5"/>
      <c r="AC375" s="5">
        <v>26</v>
      </c>
      <c r="AD375" s="5" t="s">
        <v>595</v>
      </c>
    </row>
    <row r="376" spans="1:30" x14ac:dyDescent="0.2">
      <c r="A376" s="13">
        <v>374</v>
      </c>
      <c r="B376" s="5" t="s">
        <v>601</v>
      </c>
      <c r="C376" s="5" t="s">
        <v>600</v>
      </c>
      <c r="D376" s="1" t="s">
        <v>93</v>
      </c>
      <c r="R376" s="1" t="s">
        <v>590</v>
      </c>
      <c r="S376" s="38"/>
      <c r="T376" s="38"/>
      <c r="U376" s="47"/>
      <c r="X376" s="1" t="s">
        <v>94</v>
      </c>
      <c r="Y376" s="1" t="s">
        <v>94</v>
      </c>
      <c r="Z376" s="5"/>
      <c r="AA376" s="5"/>
      <c r="AB376" s="5" t="s">
        <v>95</v>
      </c>
      <c r="AC376" s="5">
        <v>26</v>
      </c>
      <c r="AD376" s="5" t="s">
        <v>595</v>
      </c>
    </row>
    <row r="377" spans="1:30" x14ac:dyDescent="0.2">
      <c r="A377" s="13">
        <v>375</v>
      </c>
      <c r="B377" s="5" t="s">
        <v>601</v>
      </c>
      <c r="C377" s="5" t="s">
        <v>608</v>
      </c>
      <c r="D377" s="1" t="s">
        <v>96</v>
      </c>
      <c r="R377" s="1" t="s">
        <v>590</v>
      </c>
      <c r="S377" s="38"/>
      <c r="T377" s="38"/>
      <c r="U377" s="47"/>
      <c r="X377" s="1" t="s">
        <v>97</v>
      </c>
      <c r="Y377" s="1" t="s">
        <v>97</v>
      </c>
      <c r="Z377" s="5"/>
      <c r="AA377" s="5" t="s">
        <v>177</v>
      </c>
      <c r="AB377" s="5"/>
      <c r="AC377" s="5">
        <v>26</v>
      </c>
      <c r="AD377" s="5" t="s">
        <v>595</v>
      </c>
    </row>
    <row r="378" spans="1:30" s="6" customFormat="1" x14ac:dyDescent="0.2">
      <c r="A378" s="13">
        <v>376</v>
      </c>
      <c r="B378" s="5" t="s">
        <v>665</v>
      </c>
      <c r="C378" s="5" t="s">
        <v>665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 t="s">
        <v>666</v>
      </c>
      <c r="S378" s="48"/>
      <c r="T378" s="48"/>
      <c r="U378" s="22"/>
      <c r="V378" s="5" t="s">
        <v>669</v>
      </c>
      <c r="W378" s="5" t="s">
        <v>670</v>
      </c>
      <c r="X378" s="5"/>
      <c r="Y378" s="5" t="s">
        <v>672</v>
      </c>
      <c r="Z378" s="5">
        <v>1</v>
      </c>
      <c r="AA378" s="5"/>
      <c r="AB378" s="5"/>
      <c r="AC378" s="5">
        <v>64</v>
      </c>
      <c r="AD378" s="5" t="s">
        <v>676</v>
      </c>
    </row>
    <row r="379" spans="1:30" s="6" customFormat="1" x14ac:dyDescent="0.2">
      <c r="A379" s="13">
        <v>377</v>
      </c>
      <c r="B379" s="5" t="s">
        <v>665</v>
      </c>
      <c r="C379" s="5" t="s">
        <v>665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 t="s">
        <v>667</v>
      </c>
      <c r="S379" s="48"/>
      <c r="T379" s="48"/>
      <c r="U379" s="22"/>
      <c r="V379" s="5" t="s">
        <v>669</v>
      </c>
      <c r="W379" s="5" t="s">
        <v>671</v>
      </c>
      <c r="X379" s="5"/>
      <c r="Y379" s="5" t="s">
        <v>672</v>
      </c>
      <c r="Z379" s="5">
        <v>1</v>
      </c>
      <c r="AA379" s="5"/>
      <c r="AB379" s="5"/>
      <c r="AC379" s="5">
        <v>64</v>
      </c>
      <c r="AD379" s="5" t="s">
        <v>676</v>
      </c>
    </row>
    <row r="380" spans="1:30" s="44" customFormat="1" x14ac:dyDescent="0.2">
      <c r="A380" s="13">
        <v>378</v>
      </c>
      <c r="B380" s="5" t="s">
        <v>665</v>
      </c>
      <c r="C380" s="5" t="s">
        <v>665</v>
      </c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 t="s">
        <v>673</v>
      </c>
      <c r="S380" s="54"/>
      <c r="T380" s="45"/>
      <c r="U380" s="55"/>
      <c r="V380" s="5" t="s">
        <v>669</v>
      </c>
      <c r="W380" s="43"/>
      <c r="X380" s="43"/>
      <c r="Y380" s="43"/>
      <c r="Z380" s="43"/>
      <c r="AA380" s="43"/>
      <c r="AB380" s="43"/>
      <c r="AC380" s="43">
        <v>64</v>
      </c>
      <c r="AD380" s="5" t="s">
        <v>668</v>
      </c>
    </row>
    <row r="381" spans="1:30" s="44" customFormat="1" x14ac:dyDescent="0.2">
      <c r="A381" s="13">
        <v>379</v>
      </c>
      <c r="B381" s="5" t="s">
        <v>665</v>
      </c>
      <c r="C381" s="5" t="s">
        <v>665</v>
      </c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 t="s">
        <v>674</v>
      </c>
      <c r="S381" s="54"/>
      <c r="T381" s="45"/>
      <c r="U381" s="55"/>
      <c r="V381" s="5" t="s">
        <v>669</v>
      </c>
      <c r="W381" s="43"/>
      <c r="X381" s="43"/>
      <c r="Y381" s="43"/>
      <c r="Z381" s="43"/>
      <c r="AA381" s="43"/>
      <c r="AB381" s="43"/>
      <c r="AC381" s="43">
        <v>64</v>
      </c>
      <c r="AD381" s="5" t="s">
        <v>668</v>
      </c>
    </row>
    <row r="382" spans="1:30" s="44" customFormat="1" x14ac:dyDescent="0.2">
      <c r="A382" s="13">
        <v>380</v>
      </c>
      <c r="B382" s="5" t="s">
        <v>665</v>
      </c>
      <c r="C382" s="5" t="s">
        <v>665</v>
      </c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 t="s">
        <v>604</v>
      </c>
      <c r="S382" s="54"/>
      <c r="T382" s="45"/>
      <c r="U382" s="55"/>
      <c r="V382" s="43" t="s">
        <v>675</v>
      </c>
      <c r="W382" s="43"/>
      <c r="X382" s="43"/>
      <c r="Y382" s="43"/>
      <c r="Z382" s="43"/>
      <c r="AA382" s="43"/>
      <c r="AB382" s="43"/>
      <c r="AC382" s="43"/>
      <c r="AD382" s="43" t="s">
        <v>677</v>
      </c>
    </row>
    <row r="383" spans="1:30" x14ac:dyDescent="0.2">
      <c r="A383" s="13">
        <v>381</v>
      </c>
      <c r="B383" s="5" t="s">
        <v>665</v>
      </c>
      <c r="C383" s="5" t="s">
        <v>665</v>
      </c>
      <c r="R383" s="1" t="s">
        <v>680</v>
      </c>
    </row>
  </sheetData>
  <phoneticPr fontId="1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FB35-3677-F949-967F-13A8866479DD}">
  <dimension ref="A1:F118"/>
  <sheetViews>
    <sheetView workbookViewId="0">
      <pane ySplit="1" topLeftCell="A73" activePane="bottomLeft" state="frozen"/>
      <selection pane="bottomLeft" activeCell="C103" sqref="C103"/>
    </sheetView>
  </sheetViews>
  <sheetFormatPr baseColWidth="10" defaultRowHeight="15" x14ac:dyDescent="0.2"/>
  <cols>
    <col min="1" max="1" width="30.33203125" customWidth="1"/>
    <col min="2" max="2" width="23.6640625" customWidth="1"/>
    <col min="3" max="3" width="58.5" customWidth="1"/>
    <col min="4" max="4" width="31" bestFit="1" customWidth="1"/>
    <col min="6" max="6" width="38.6640625" customWidth="1"/>
  </cols>
  <sheetData>
    <row r="1" spans="1:6" s="9" customFormat="1" x14ac:dyDescent="0.2">
      <c r="A1" s="9" t="s">
        <v>98</v>
      </c>
      <c r="B1" s="9" t="s">
        <v>99</v>
      </c>
      <c r="C1" s="9" t="s">
        <v>100</v>
      </c>
      <c r="D1" s="9" t="s">
        <v>101</v>
      </c>
      <c r="E1" s="9" t="s">
        <v>108</v>
      </c>
      <c r="F1" s="9" t="s">
        <v>119</v>
      </c>
    </row>
    <row r="2" spans="1:6" s="12" customFormat="1" x14ac:dyDescent="0.2">
      <c r="A2" s="12" t="s">
        <v>216</v>
      </c>
      <c r="C2" s="12" t="s">
        <v>218</v>
      </c>
      <c r="D2" s="12" t="s">
        <v>219</v>
      </c>
    </row>
    <row r="3" spans="1:6" s="12" customFormat="1" x14ac:dyDescent="0.2">
      <c r="A3" s="33" t="s">
        <v>347</v>
      </c>
      <c r="B3" s="33" t="s">
        <v>348</v>
      </c>
      <c r="C3" s="33" t="s">
        <v>349</v>
      </c>
      <c r="D3" s="33" t="s">
        <v>141</v>
      </c>
      <c r="E3" s="33" t="s">
        <v>109</v>
      </c>
    </row>
    <row r="4" spans="1:6" s="12" customFormat="1" x14ac:dyDescent="0.2">
      <c r="A4" s="33" t="s">
        <v>276</v>
      </c>
      <c r="B4" s="33" t="s">
        <v>348</v>
      </c>
      <c r="C4" s="33" t="s">
        <v>350</v>
      </c>
      <c r="D4" s="33" t="s">
        <v>219</v>
      </c>
      <c r="E4" s="33"/>
    </row>
    <row r="5" spans="1:6" x14ac:dyDescent="0.2">
      <c r="A5" t="s">
        <v>544</v>
      </c>
      <c r="B5" t="s">
        <v>192</v>
      </c>
      <c r="C5" t="s">
        <v>546</v>
      </c>
      <c r="E5" t="s">
        <v>109</v>
      </c>
    </row>
    <row r="6" spans="1:6" x14ac:dyDescent="0.2">
      <c r="A6" t="s">
        <v>9</v>
      </c>
      <c r="B6" t="s">
        <v>199</v>
      </c>
      <c r="C6" t="s">
        <v>547</v>
      </c>
      <c r="D6" t="s">
        <v>141</v>
      </c>
      <c r="E6" t="s">
        <v>109</v>
      </c>
    </row>
    <row r="7" spans="1:6" x14ac:dyDescent="0.2">
      <c r="A7" t="s">
        <v>1</v>
      </c>
      <c r="B7" t="s">
        <v>193</v>
      </c>
      <c r="C7" t="s">
        <v>102</v>
      </c>
      <c r="D7" t="s">
        <v>236</v>
      </c>
      <c r="F7" t="s">
        <v>237</v>
      </c>
    </row>
    <row r="8" spans="1:6" x14ac:dyDescent="0.2">
      <c r="A8" t="s">
        <v>2</v>
      </c>
      <c r="B8" t="s">
        <v>193</v>
      </c>
      <c r="C8" t="s">
        <v>107</v>
      </c>
      <c r="D8" t="s">
        <v>118</v>
      </c>
      <c r="E8" t="s">
        <v>109</v>
      </c>
    </row>
    <row r="9" spans="1:6" x14ac:dyDescent="0.2">
      <c r="A9" t="s">
        <v>110</v>
      </c>
      <c r="B9" t="s">
        <v>193</v>
      </c>
      <c r="C9" t="s">
        <v>111</v>
      </c>
      <c r="D9" t="s">
        <v>117</v>
      </c>
      <c r="E9" t="s">
        <v>109</v>
      </c>
      <c r="F9" t="s">
        <v>120</v>
      </c>
    </row>
    <row r="10" spans="1:6" x14ac:dyDescent="0.2">
      <c r="A10" t="s">
        <v>508</v>
      </c>
      <c r="B10" t="s">
        <v>193</v>
      </c>
      <c r="D10" t="s">
        <v>127</v>
      </c>
      <c r="E10" t="s">
        <v>109</v>
      </c>
      <c r="F10" t="s">
        <v>121</v>
      </c>
    </row>
    <row r="11" spans="1:6" x14ac:dyDescent="0.2">
      <c r="A11" t="s">
        <v>507</v>
      </c>
      <c r="B11" t="s">
        <v>193</v>
      </c>
      <c r="C11" t="s">
        <v>511</v>
      </c>
      <c r="D11" t="s">
        <v>132</v>
      </c>
    </row>
    <row r="12" spans="1:6" x14ac:dyDescent="0.2">
      <c r="A12" t="s">
        <v>509</v>
      </c>
      <c r="B12" t="s">
        <v>193</v>
      </c>
      <c r="D12" t="s">
        <v>127</v>
      </c>
      <c r="E12" t="s">
        <v>109</v>
      </c>
      <c r="F12" t="s">
        <v>121</v>
      </c>
    </row>
    <row r="13" spans="1:6" x14ac:dyDescent="0.2">
      <c r="A13" t="s">
        <v>510</v>
      </c>
      <c r="B13" t="s">
        <v>193</v>
      </c>
      <c r="C13" t="s">
        <v>512</v>
      </c>
      <c r="D13" t="s">
        <v>132</v>
      </c>
    </row>
    <row r="14" spans="1:6" x14ac:dyDescent="0.2">
      <c r="A14" t="s">
        <v>351</v>
      </c>
      <c r="B14" t="s">
        <v>192</v>
      </c>
      <c r="D14" t="s">
        <v>353</v>
      </c>
    </row>
    <row r="15" spans="1:6" x14ac:dyDescent="0.2">
      <c r="A15" t="s">
        <v>3</v>
      </c>
      <c r="B15" t="s">
        <v>193</v>
      </c>
      <c r="C15" t="s">
        <v>130</v>
      </c>
      <c r="D15" t="s">
        <v>129</v>
      </c>
    </row>
    <row r="16" spans="1:6" x14ac:dyDescent="0.2">
      <c r="A16" t="s">
        <v>4</v>
      </c>
      <c r="B16" t="s">
        <v>193</v>
      </c>
      <c r="C16" t="s">
        <v>128</v>
      </c>
      <c r="D16" t="s">
        <v>134</v>
      </c>
    </row>
    <row r="17" spans="1:6" x14ac:dyDescent="0.2">
      <c r="A17" t="s">
        <v>5</v>
      </c>
      <c r="B17" t="s">
        <v>193</v>
      </c>
      <c r="C17" t="s">
        <v>250</v>
      </c>
      <c r="D17" t="s">
        <v>135</v>
      </c>
      <c r="F17" t="s">
        <v>251</v>
      </c>
    </row>
    <row r="18" spans="1:6" x14ac:dyDescent="0.2">
      <c r="A18" t="s">
        <v>140</v>
      </c>
      <c r="B18" t="s">
        <v>193</v>
      </c>
      <c r="C18" t="s">
        <v>136</v>
      </c>
      <c r="D18" t="s">
        <v>139</v>
      </c>
    </row>
    <row r="19" spans="1:6" x14ac:dyDescent="0.2">
      <c r="A19" t="s">
        <v>330</v>
      </c>
      <c r="B19" t="s">
        <v>193</v>
      </c>
      <c r="C19" t="s">
        <v>352</v>
      </c>
      <c r="D19" t="s">
        <v>219</v>
      </c>
    </row>
    <row r="20" spans="1:6" x14ac:dyDescent="0.2">
      <c r="A20" t="s">
        <v>6</v>
      </c>
      <c r="B20" t="s">
        <v>207</v>
      </c>
    </row>
    <row r="21" spans="1:6" x14ac:dyDescent="0.2">
      <c r="A21" s="30" t="s">
        <v>167</v>
      </c>
      <c r="B21" s="30" t="s">
        <v>207</v>
      </c>
      <c r="C21" s="30"/>
      <c r="D21" s="30" t="s">
        <v>208</v>
      </c>
    </row>
    <row r="22" spans="1:6" x14ac:dyDescent="0.2">
      <c r="A22" t="s">
        <v>334</v>
      </c>
      <c r="B22" t="s">
        <v>207</v>
      </c>
      <c r="C22" t="s">
        <v>354</v>
      </c>
      <c r="D22" t="s">
        <v>345</v>
      </c>
      <c r="E22" t="s">
        <v>346</v>
      </c>
      <c r="F22" t="s">
        <v>501</v>
      </c>
    </row>
    <row r="23" spans="1:6" x14ac:dyDescent="0.2">
      <c r="A23" t="s">
        <v>517</v>
      </c>
      <c r="B23" t="s">
        <v>193</v>
      </c>
      <c r="C23" t="s">
        <v>202</v>
      </c>
      <c r="D23" t="s">
        <v>141</v>
      </c>
    </row>
    <row r="24" spans="1:6" x14ac:dyDescent="0.2">
      <c r="A24" t="s">
        <v>514</v>
      </c>
      <c r="C24" t="s">
        <v>520</v>
      </c>
      <c r="D24" t="s">
        <v>141</v>
      </c>
    </row>
    <row r="25" spans="1:6" x14ac:dyDescent="0.2">
      <c r="A25" t="s">
        <v>518</v>
      </c>
      <c r="B25" t="s">
        <v>206</v>
      </c>
      <c r="C25" t="s">
        <v>202</v>
      </c>
      <c r="D25" t="s">
        <v>141</v>
      </c>
    </row>
    <row r="26" spans="1:6" x14ac:dyDescent="0.2">
      <c r="A26" t="s">
        <v>519</v>
      </c>
      <c r="B26" t="s">
        <v>206</v>
      </c>
      <c r="C26" t="s">
        <v>202</v>
      </c>
      <c r="D26" t="s">
        <v>141</v>
      </c>
    </row>
    <row r="27" spans="1:6" x14ac:dyDescent="0.2">
      <c r="A27" t="s">
        <v>156</v>
      </c>
      <c r="B27" t="s">
        <v>209</v>
      </c>
      <c r="C27" t="s">
        <v>202</v>
      </c>
      <c r="D27" t="s">
        <v>141</v>
      </c>
    </row>
    <row r="28" spans="1:6" x14ac:dyDescent="0.2">
      <c r="A28" t="s">
        <v>515</v>
      </c>
      <c r="B28" t="s">
        <v>209</v>
      </c>
      <c r="C28" t="s">
        <v>521</v>
      </c>
      <c r="D28" t="s">
        <v>141</v>
      </c>
    </row>
    <row r="29" spans="1:6" x14ac:dyDescent="0.2">
      <c r="A29" t="s">
        <v>0</v>
      </c>
      <c r="B29" t="s">
        <v>209</v>
      </c>
      <c r="C29" t="s">
        <v>203</v>
      </c>
      <c r="D29" t="s">
        <v>141</v>
      </c>
    </row>
    <row r="30" spans="1:6" x14ac:dyDescent="0.2">
      <c r="A30" t="s">
        <v>201</v>
      </c>
      <c r="B30" t="s">
        <v>209</v>
      </c>
      <c r="C30" t="s">
        <v>204</v>
      </c>
      <c r="D30" t="s">
        <v>141</v>
      </c>
    </row>
    <row r="31" spans="1:6" x14ac:dyDescent="0.2">
      <c r="A31" t="s">
        <v>205</v>
      </c>
      <c r="B31" t="s">
        <v>209</v>
      </c>
      <c r="D31" t="s">
        <v>210</v>
      </c>
      <c r="F31" t="s">
        <v>211</v>
      </c>
    </row>
    <row r="32" spans="1:6" x14ac:dyDescent="0.2">
      <c r="A32" t="s">
        <v>7</v>
      </c>
      <c r="B32" t="s">
        <v>209</v>
      </c>
      <c r="D32" t="s">
        <v>141</v>
      </c>
      <c r="E32" t="s">
        <v>200</v>
      </c>
    </row>
    <row r="33" spans="1:4" x14ac:dyDescent="0.2">
      <c r="A33" t="s">
        <v>8</v>
      </c>
      <c r="B33" t="s">
        <v>209</v>
      </c>
      <c r="C33" t="s">
        <v>212</v>
      </c>
      <c r="D33" t="s">
        <v>141</v>
      </c>
    </row>
    <row r="34" spans="1:4" x14ac:dyDescent="0.2">
      <c r="A34" t="s">
        <v>355</v>
      </c>
      <c r="C34" t="s">
        <v>356</v>
      </c>
    </row>
    <row r="35" spans="1:4" x14ac:dyDescent="0.2">
      <c r="A35" t="s">
        <v>300</v>
      </c>
      <c r="C35" t="s">
        <v>356</v>
      </c>
    </row>
    <row r="38" spans="1:4" x14ac:dyDescent="0.2">
      <c r="A38" s="15" t="s">
        <v>101</v>
      </c>
    </row>
    <row r="39" spans="1:4" x14ac:dyDescent="0.2">
      <c r="A39" t="s">
        <v>103</v>
      </c>
      <c r="B39" t="s">
        <v>104</v>
      </c>
    </row>
    <row r="40" spans="1:4" x14ac:dyDescent="0.2">
      <c r="A40" t="s">
        <v>106</v>
      </c>
      <c r="B40" t="s">
        <v>105</v>
      </c>
    </row>
    <row r="41" spans="1:4" x14ac:dyDescent="0.2">
      <c r="A41" t="s">
        <v>137</v>
      </c>
      <c r="B41" t="s">
        <v>138</v>
      </c>
    </row>
    <row r="44" spans="1:4" x14ac:dyDescent="0.2">
      <c r="A44" s="15" t="s">
        <v>194</v>
      </c>
    </row>
    <row r="45" spans="1:4" s="12" customFormat="1" x14ac:dyDescent="0.2">
      <c r="A45" s="12" t="s">
        <v>11</v>
      </c>
      <c r="B45" s="12" t="s">
        <v>160</v>
      </c>
    </row>
    <row r="46" spans="1:4" x14ac:dyDescent="0.2">
      <c r="A46" s="6" t="s">
        <v>48</v>
      </c>
      <c r="B46" s="6" t="s">
        <v>279</v>
      </c>
    </row>
    <row r="47" spans="1:4" x14ac:dyDescent="0.2">
      <c r="A47" s="6" t="s">
        <v>68</v>
      </c>
      <c r="B47" s="6" t="s">
        <v>161</v>
      </c>
    </row>
    <row r="48" spans="1:4" x14ac:dyDescent="0.2">
      <c r="A48" s="6" t="s">
        <v>83</v>
      </c>
      <c r="B48" s="6" t="s">
        <v>162</v>
      </c>
    </row>
    <row r="49" spans="1:2" x14ac:dyDescent="0.2">
      <c r="A49" s="13" t="s">
        <v>328</v>
      </c>
      <c r="B49" s="6" t="s">
        <v>278</v>
      </c>
    </row>
    <row r="52" spans="1:2" x14ac:dyDescent="0.2">
      <c r="A52" s="15" t="s">
        <v>195</v>
      </c>
    </row>
    <row r="53" spans="1:2" s="12" customFormat="1" x14ac:dyDescent="0.2">
      <c r="A53" s="12" t="s">
        <v>163</v>
      </c>
      <c r="B53" s="12" t="s">
        <v>196</v>
      </c>
    </row>
    <row r="54" spans="1:2" x14ac:dyDescent="0.2">
      <c r="A54" s="6"/>
      <c r="B54" s="6" t="s">
        <v>197</v>
      </c>
    </row>
    <row r="55" spans="1:2" x14ac:dyDescent="0.2">
      <c r="A55" s="6"/>
      <c r="B55" s="6" t="s">
        <v>198</v>
      </c>
    </row>
    <row r="56" spans="1:2" x14ac:dyDescent="0.2">
      <c r="A56" s="6"/>
      <c r="B56" s="6"/>
    </row>
    <row r="58" spans="1:2" x14ac:dyDescent="0.2">
      <c r="A58" s="15" t="s">
        <v>499</v>
      </c>
    </row>
    <row r="59" spans="1:2" x14ac:dyDescent="0.2">
      <c r="A59" t="s">
        <v>185</v>
      </c>
      <c r="B59" t="s">
        <v>178</v>
      </c>
    </row>
    <row r="60" spans="1:2" x14ac:dyDescent="0.2">
      <c r="A60" t="s">
        <v>186</v>
      </c>
      <c r="B60" t="s">
        <v>179</v>
      </c>
    </row>
    <row r="61" spans="1:2" x14ac:dyDescent="0.2">
      <c r="A61" t="s">
        <v>187</v>
      </c>
      <c r="B61" t="s">
        <v>180</v>
      </c>
    </row>
    <row r="62" spans="1:2" x14ac:dyDescent="0.2">
      <c r="A62" t="s">
        <v>188</v>
      </c>
      <c r="B62" t="s">
        <v>181</v>
      </c>
    </row>
    <row r="63" spans="1:2" x14ac:dyDescent="0.2">
      <c r="A63" s="23" t="s">
        <v>189</v>
      </c>
      <c r="B63" s="23" t="s">
        <v>182</v>
      </c>
    </row>
    <row r="64" spans="1:2" x14ac:dyDescent="0.2">
      <c r="A64" s="23" t="s">
        <v>190</v>
      </c>
      <c r="B64" s="23" t="s">
        <v>183</v>
      </c>
    </row>
    <row r="65" spans="1:2" x14ac:dyDescent="0.2">
      <c r="A65" s="23" t="s">
        <v>253</v>
      </c>
      <c r="B65" s="23" t="s">
        <v>498</v>
      </c>
    </row>
    <row r="66" spans="1:2" x14ac:dyDescent="0.2">
      <c r="A66" t="s">
        <v>191</v>
      </c>
      <c r="B66" t="s">
        <v>184</v>
      </c>
    </row>
    <row r="67" spans="1:2" x14ac:dyDescent="0.2">
      <c r="A67" t="s">
        <v>173</v>
      </c>
      <c r="B67" t="s">
        <v>175</v>
      </c>
    </row>
    <row r="68" spans="1:2" x14ac:dyDescent="0.2">
      <c r="A68" t="s">
        <v>174</v>
      </c>
      <c r="B68" t="s">
        <v>176</v>
      </c>
    </row>
    <row r="69" spans="1:2" x14ac:dyDescent="0.2">
      <c r="A69" s="34" t="s">
        <v>500</v>
      </c>
      <c r="B69" t="s">
        <v>177</v>
      </c>
    </row>
    <row r="72" spans="1:2" x14ac:dyDescent="0.2">
      <c r="A72" s="15" t="s">
        <v>126</v>
      </c>
    </row>
    <row r="73" spans="1:2" x14ac:dyDescent="0.2">
      <c r="A73" s="10" t="s">
        <v>213</v>
      </c>
    </row>
    <row r="74" spans="1:2" x14ac:dyDescent="0.2">
      <c r="A74" s="12" t="s">
        <v>124</v>
      </c>
    </row>
    <row r="75" spans="1:2" x14ac:dyDescent="0.2">
      <c r="A75" s="13" t="s">
        <v>122</v>
      </c>
    </row>
    <row r="76" spans="1:2" x14ac:dyDescent="0.2">
      <c r="A76" s="12" t="s">
        <v>123</v>
      </c>
    </row>
    <row r="77" spans="1:2" x14ac:dyDescent="0.2">
      <c r="A77" s="13" t="s">
        <v>214</v>
      </c>
    </row>
    <row r="78" spans="1:2" x14ac:dyDescent="0.2">
      <c r="A78" s="14" t="s">
        <v>215</v>
      </c>
    </row>
    <row r="79" spans="1:2" x14ac:dyDescent="0.2">
      <c r="A79" t="s">
        <v>125</v>
      </c>
      <c r="B79" t="s">
        <v>624</v>
      </c>
    </row>
    <row r="80" spans="1:2" x14ac:dyDescent="0.2">
      <c r="A80" t="s">
        <v>497</v>
      </c>
      <c r="B80" t="s">
        <v>623</v>
      </c>
    </row>
    <row r="81" spans="1:4" x14ac:dyDescent="0.2">
      <c r="A81" s="13">
        <v>5422</v>
      </c>
    </row>
    <row r="82" spans="1:4" x14ac:dyDescent="0.2">
      <c r="A82" s="13">
        <v>6322</v>
      </c>
    </row>
    <row r="83" spans="1:4" x14ac:dyDescent="0.2">
      <c r="A83" s="13">
        <v>5332</v>
      </c>
    </row>
    <row r="84" spans="1:4" x14ac:dyDescent="0.2">
      <c r="A84" s="13"/>
    </row>
    <row r="86" spans="1:4" x14ac:dyDescent="0.2">
      <c r="A86" s="15" t="s">
        <v>112</v>
      </c>
    </row>
    <row r="87" spans="1:4" x14ac:dyDescent="0.2">
      <c r="A87" s="28" t="s">
        <v>113</v>
      </c>
    </row>
    <row r="88" spans="1:4" x14ac:dyDescent="0.2">
      <c r="A88" t="s">
        <v>114</v>
      </c>
    </row>
    <row r="89" spans="1:4" x14ac:dyDescent="0.2">
      <c r="A89" t="s">
        <v>115</v>
      </c>
    </row>
    <row r="90" spans="1:4" x14ac:dyDescent="0.2">
      <c r="A90" t="s">
        <v>116</v>
      </c>
    </row>
    <row r="93" spans="1:4" x14ac:dyDescent="0.2">
      <c r="A93" s="15" t="s">
        <v>522</v>
      </c>
    </row>
    <row r="94" spans="1:4" s="10" customFormat="1" x14ac:dyDescent="0.2">
      <c r="A94" s="10" t="s">
        <v>146</v>
      </c>
      <c r="B94" s="10" t="s">
        <v>147</v>
      </c>
      <c r="C94" s="10" t="s">
        <v>100</v>
      </c>
      <c r="D94" s="10" t="s">
        <v>148</v>
      </c>
    </row>
    <row r="95" spans="1:4" s="10" customFormat="1" x14ac:dyDescent="0.2">
      <c r="A95" s="37" t="s">
        <v>540</v>
      </c>
    </row>
    <row r="96" spans="1:4" s="12" customFormat="1" x14ac:dyDescent="0.2">
      <c r="A96" s="12" t="s">
        <v>516</v>
      </c>
      <c r="B96" s="12" t="s">
        <v>537</v>
      </c>
      <c r="C96" s="12" t="s">
        <v>525</v>
      </c>
      <c r="D96" s="12" t="s">
        <v>524</v>
      </c>
    </row>
    <row r="97" spans="1:4" s="12" customFormat="1" x14ac:dyDescent="0.2">
      <c r="A97" s="12" t="s">
        <v>539</v>
      </c>
      <c r="B97" s="12" t="s">
        <v>528</v>
      </c>
      <c r="C97" s="12" t="s">
        <v>619</v>
      </c>
      <c r="D97" s="12" t="s">
        <v>524</v>
      </c>
    </row>
    <row r="98" spans="1:4" s="12" customFormat="1" x14ac:dyDescent="0.2">
      <c r="A98" s="12" t="s">
        <v>526</v>
      </c>
      <c r="B98" s="12" t="s">
        <v>528</v>
      </c>
      <c r="C98" s="12" t="s">
        <v>529</v>
      </c>
      <c r="D98" s="12" t="s">
        <v>524</v>
      </c>
    </row>
    <row r="99" spans="1:4" s="12" customFormat="1" x14ac:dyDescent="0.2">
      <c r="A99" s="12" t="s">
        <v>523</v>
      </c>
      <c r="B99" s="12" t="s">
        <v>528</v>
      </c>
      <c r="C99" s="12" t="s">
        <v>581</v>
      </c>
      <c r="D99" s="12" t="s">
        <v>524</v>
      </c>
    </row>
    <row r="100" spans="1:4" s="12" customFormat="1" x14ac:dyDescent="0.2">
      <c r="A100" s="12" t="s">
        <v>538</v>
      </c>
      <c r="B100" s="12" t="s">
        <v>528</v>
      </c>
      <c r="C100" s="12" t="s">
        <v>582</v>
      </c>
      <c r="D100" s="12" t="s">
        <v>524</v>
      </c>
    </row>
    <row r="101" spans="1:4" x14ac:dyDescent="0.2">
      <c r="A101" s="38" t="s">
        <v>669</v>
      </c>
      <c r="B101" t="s">
        <v>678</v>
      </c>
      <c r="C101" t="s">
        <v>679</v>
      </c>
    </row>
    <row r="102" spans="1:4" s="12" customFormat="1" x14ac:dyDescent="0.2"/>
    <row r="103" spans="1:4" s="12" customFormat="1" x14ac:dyDescent="0.2">
      <c r="A103" s="37" t="s">
        <v>541</v>
      </c>
    </row>
    <row r="104" spans="1:4" x14ac:dyDescent="0.2">
      <c r="A104" s="48" t="s">
        <v>266</v>
      </c>
      <c r="C104" s="12" t="s">
        <v>631</v>
      </c>
      <c r="D104" t="s">
        <v>149</v>
      </c>
    </row>
    <row r="105" spans="1:4" x14ac:dyDescent="0.2">
      <c r="A105" s="38" t="s">
        <v>150</v>
      </c>
      <c r="C105" t="s">
        <v>151</v>
      </c>
      <c r="D105" t="s">
        <v>149</v>
      </c>
    </row>
    <row r="106" spans="1:4" x14ac:dyDescent="0.2">
      <c r="A106" s="45" t="s">
        <v>644</v>
      </c>
      <c r="B106" s="12"/>
      <c r="C106" s="12" t="s">
        <v>625</v>
      </c>
      <c r="D106" t="s">
        <v>149</v>
      </c>
    </row>
    <row r="107" spans="1:4" x14ac:dyDescent="0.2">
      <c r="A107" s="38" t="s">
        <v>640</v>
      </c>
      <c r="C107" t="s">
        <v>641</v>
      </c>
      <c r="D107" t="s">
        <v>149</v>
      </c>
    </row>
    <row r="108" spans="1:4" x14ac:dyDescent="0.2">
      <c r="A108" s="38" t="s">
        <v>145</v>
      </c>
      <c r="C108" s="6" t="s">
        <v>144</v>
      </c>
      <c r="D108" t="s">
        <v>149</v>
      </c>
    </row>
    <row r="109" spans="1:4" x14ac:dyDescent="0.2">
      <c r="A109" s="38" t="s">
        <v>143</v>
      </c>
      <c r="C109" t="s">
        <v>142</v>
      </c>
      <c r="D109" t="s">
        <v>149</v>
      </c>
    </row>
    <row r="110" spans="1:4" x14ac:dyDescent="0.2">
      <c r="A110" s="48" t="s">
        <v>645</v>
      </c>
      <c r="C110" t="s">
        <v>647</v>
      </c>
      <c r="D110" t="s">
        <v>149</v>
      </c>
    </row>
    <row r="111" spans="1:4" x14ac:dyDescent="0.2">
      <c r="A111" s="48" t="s">
        <v>646</v>
      </c>
      <c r="C111" t="s">
        <v>648</v>
      </c>
      <c r="D111" t="s">
        <v>149</v>
      </c>
    </row>
    <row r="112" spans="1:4" x14ac:dyDescent="0.2">
      <c r="A112" s="48" t="s">
        <v>649</v>
      </c>
      <c r="C112" t="s">
        <v>650</v>
      </c>
      <c r="D112" t="s">
        <v>149</v>
      </c>
    </row>
    <row r="113" spans="1:4" x14ac:dyDescent="0.2">
      <c r="A113" s="38" t="s">
        <v>636</v>
      </c>
      <c r="C113" t="s">
        <v>637</v>
      </c>
      <c r="D113" t="s">
        <v>149</v>
      </c>
    </row>
    <row r="114" spans="1:4" x14ac:dyDescent="0.2">
      <c r="A114" s="45" t="s">
        <v>626</v>
      </c>
      <c r="B114" s="12" t="s">
        <v>611</v>
      </c>
      <c r="C114" s="12" t="s">
        <v>612</v>
      </c>
      <c r="D114" t="s">
        <v>149</v>
      </c>
    </row>
    <row r="115" spans="1:4" x14ac:dyDescent="0.2">
      <c r="A115" s="48" t="s">
        <v>633</v>
      </c>
      <c r="B115" t="s">
        <v>638</v>
      </c>
      <c r="C115" t="s">
        <v>655</v>
      </c>
      <c r="D115" t="s">
        <v>149</v>
      </c>
    </row>
    <row r="116" spans="1:4" x14ac:dyDescent="0.2">
      <c r="A116" s="38" t="s">
        <v>154</v>
      </c>
      <c r="B116" t="s">
        <v>155</v>
      </c>
      <c r="C116" t="s">
        <v>152</v>
      </c>
      <c r="D116" t="s">
        <v>149</v>
      </c>
    </row>
    <row r="117" spans="1:4" x14ac:dyDescent="0.2">
      <c r="A117" s="38" t="s">
        <v>639</v>
      </c>
      <c r="B117" t="s">
        <v>638</v>
      </c>
      <c r="C117" t="s">
        <v>656</v>
      </c>
      <c r="D117" t="s">
        <v>149</v>
      </c>
    </row>
    <row r="118" spans="1:4" x14ac:dyDescent="0.2">
      <c r="A118" s="48" t="s">
        <v>642</v>
      </c>
      <c r="B118" t="s">
        <v>654</v>
      </c>
      <c r="C118" t="s">
        <v>653</v>
      </c>
      <c r="D118" t="s">
        <v>149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B878-6FDD-3146-9C0B-D57012794B1E}">
  <dimension ref="A1:A22"/>
  <sheetViews>
    <sheetView workbookViewId="0">
      <selection activeCell="A27" sqref="A27"/>
    </sheetView>
  </sheetViews>
  <sheetFormatPr baseColWidth="10" defaultRowHeight="15" x14ac:dyDescent="0.2"/>
  <sheetData>
    <row r="1" spans="1:1" x14ac:dyDescent="0.2">
      <c r="A1" s="9" t="s">
        <v>168</v>
      </c>
    </row>
    <row r="2" spans="1:1" x14ac:dyDescent="0.2">
      <c r="A2" t="s">
        <v>169</v>
      </c>
    </row>
    <row r="3" spans="1:1" x14ac:dyDescent="0.2">
      <c r="A3" t="s">
        <v>170</v>
      </c>
    </row>
    <row r="4" spans="1:1" x14ac:dyDescent="0.2">
      <c r="A4" t="s">
        <v>171</v>
      </c>
    </row>
    <row r="5" spans="1:1" x14ac:dyDescent="0.2">
      <c r="A5" t="s">
        <v>405</v>
      </c>
    </row>
    <row r="8" spans="1:1" s="9" customFormat="1" x14ac:dyDescent="0.2">
      <c r="A8" s="9" t="s">
        <v>157</v>
      </c>
    </row>
    <row r="9" spans="1:1" x14ac:dyDescent="0.2">
      <c r="A9" t="s">
        <v>406</v>
      </c>
    </row>
    <row r="10" spans="1:1" x14ac:dyDescent="0.2">
      <c r="A10" t="s">
        <v>172</v>
      </c>
    </row>
    <row r="11" spans="1:1" x14ac:dyDescent="0.2">
      <c r="A11" s="11" t="s">
        <v>164</v>
      </c>
    </row>
    <row r="12" spans="1:1" x14ac:dyDescent="0.2">
      <c r="A12" s="11" t="s">
        <v>165</v>
      </c>
    </row>
    <row r="13" spans="1:1" x14ac:dyDescent="0.2">
      <c r="A13" t="s">
        <v>166</v>
      </c>
    </row>
    <row r="16" spans="1:1" s="9" customFormat="1" x14ac:dyDescent="0.2">
      <c r="A16" s="9" t="s">
        <v>158</v>
      </c>
    </row>
    <row r="17" spans="1:1" x14ac:dyDescent="0.2">
      <c r="A17" t="s">
        <v>159</v>
      </c>
    </row>
    <row r="20" spans="1:1" x14ac:dyDescent="0.2">
      <c r="A20" s="9" t="s">
        <v>217</v>
      </c>
    </row>
    <row r="21" spans="1:1" x14ac:dyDescent="0.2">
      <c r="A21" t="s">
        <v>239</v>
      </c>
    </row>
    <row r="22" spans="1:1" x14ac:dyDescent="0.2">
      <c r="A22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FECD-09DA-BA42-ABA2-48D64AD54298}">
  <dimension ref="A1:H31"/>
  <sheetViews>
    <sheetView workbookViewId="0">
      <pane ySplit="3" topLeftCell="A4" activePane="bottomLeft" state="frozen"/>
      <selection pane="bottomLeft" activeCell="B20" sqref="B20"/>
    </sheetView>
  </sheetViews>
  <sheetFormatPr baseColWidth="10" defaultRowHeight="15" x14ac:dyDescent="0.2"/>
  <cols>
    <col min="1" max="1" width="7" style="1" customWidth="1"/>
    <col min="4" max="4" width="2.1640625" customWidth="1"/>
    <col min="5" max="5" width="26.83203125" customWidth="1"/>
    <col min="6" max="6" width="25.6640625" customWidth="1"/>
    <col min="8" max="8" width="43.1640625" style="17" customWidth="1"/>
  </cols>
  <sheetData>
    <row r="1" spans="1:8" x14ac:dyDescent="0.2">
      <c r="A1" s="1" t="s">
        <v>259</v>
      </c>
    </row>
    <row r="3" spans="1:8" s="27" customFormat="1" ht="32" x14ac:dyDescent="0.2">
      <c r="A3" s="25" t="s">
        <v>261</v>
      </c>
      <c r="B3" s="26" t="s">
        <v>260</v>
      </c>
      <c r="C3" s="26" t="s">
        <v>264</v>
      </c>
      <c r="D3" s="26"/>
      <c r="E3" s="25" t="s">
        <v>274</v>
      </c>
      <c r="F3" s="25" t="s">
        <v>262</v>
      </c>
      <c r="G3" s="26" t="s">
        <v>265</v>
      </c>
      <c r="H3" s="32" t="s">
        <v>374</v>
      </c>
    </row>
    <row r="4" spans="1:8" x14ac:dyDescent="0.2">
      <c r="A4" s="1">
        <v>2</v>
      </c>
      <c r="B4">
        <v>11</v>
      </c>
      <c r="C4" s="24">
        <v>1</v>
      </c>
      <c r="D4" s="24"/>
      <c r="E4" t="s">
        <v>268</v>
      </c>
      <c r="F4" t="s">
        <v>415</v>
      </c>
      <c r="G4" s="24">
        <v>1</v>
      </c>
    </row>
    <row r="5" spans="1:8" x14ac:dyDescent="0.2">
      <c r="A5" s="1">
        <v>2</v>
      </c>
      <c r="B5">
        <v>12</v>
      </c>
      <c r="C5" s="24">
        <v>1</v>
      </c>
      <c r="D5" s="24"/>
      <c r="E5" t="s">
        <v>268</v>
      </c>
      <c r="F5" t="s">
        <v>48</v>
      </c>
      <c r="G5" s="24">
        <v>1</v>
      </c>
    </row>
    <row r="6" spans="1:8" x14ac:dyDescent="0.2">
      <c r="A6" s="1">
        <v>2</v>
      </c>
      <c r="B6">
        <v>13</v>
      </c>
      <c r="C6" s="24">
        <v>1</v>
      </c>
      <c r="D6" s="24"/>
      <c r="E6" t="s">
        <v>268</v>
      </c>
      <c r="F6" s="13" t="s">
        <v>372</v>
      </c>
      <c r="G6" s="24">
        <v>1</v>
      </c>
      <c r="H6" s="13"/>
    </row>
    <row r="7" spans="1:8" x14ac:dyDescent="0.2">
      <c r="A7" s="1">
        <v>2</v>
      </c>
      <c r="B7">
        <v>14</v>
      </c>
      <c r="C7" s="24">
        <v>0.5</v>
      </c>
      <c r="D7" s="24"/>
      <c r="E7" t="s">
        <v>268</v>
      </c>
      <c r="F7" t="s">
        <v>328</v>
      </c>
      <c r="G7" s="24">
        <v>1</v>
      </c>
      <c r="H7" s="13" t="s">
        <v>377</v>
      </c>
    </row>
    <row r="8" spans="1:8" x14ac:dyDescent="0.2">
      <c r="A8" s="1">
        <v>2</v>
      </c>
      <c r="B8">
        <v>15</v>
      </c>
      <c r="C8" s="24">
        <v>1</v>
      </c>
      <c r="D8" s="24"/>
      <c r="E8" t="s">
        <v>268</v>
      </c>
      <c r="F8" t="s">
        <v>373</v>
      </c>
      <c r="G8" s="24">
        <v>1</v>
      </c>
    </row>
    <row r="9" spans="1:8" x14ac:dyDescent="0.2">
      <c r="A9" s="1">
        <v>2</v>
      </c>
      <c r="B9">
        <v>16</v>
      </c>
      <c r="C9" s="24">
        <v>0</v>
      </c>
      <c r="D9" s="24"/>
      <c r="E9" t="s">
        <v>268</v>
      </c>
      <c r="F9" t="s">
        <v>371</v>
      </c>
      <c r="G9" s="24">
        <v>0</v>
      </c>
      <c r="H9" s="17" t="s">
        <v>376</v>
      </c>
    </row>
    <row r="10" spans="1:8" x14ac:dyDescent="0.2">
      <c r="A10" s="1">
        <v>3</v>
      </c>
      <c r="B10">
        <v>17</v>
      </c>
      <c r="C10" s="24">
        <v>1</v>
      </c>
      <c r="D10" s="24"/>
      <c r="E10" t="s">
        <v>270</v>
      </c>
      <c r="F10" t="s">
        <v>415</v>
      </c>
      <c r="G10" s="24">
        <v>1</v>
      </c>
    </row>
    <row r="11" spans="1:8" x14ac:dyDescent="0.2">
      <c r="A11" s="1">
        <v>3</v>
      </c>
      <c r="B11">
        <v>18</v>
      </c>
      <c r="C11" s="24">
        <v>0.9</v>
      </c>
      <c r="D11" s="24"/>
      <c r="E11" t="s">
        <v>270</v>
      </c>
      <c r="F11" t="s">
        <v>48</v>
      </c>
      <c r="G11" s="24">
        <v>1</v>
      </c>
      <c r="H11" s="17" t="s">
        <v>375</v>
      </c>
    </row>
    <row r="12" spans="1:8" x14ac:dyDescent="0.2">
      <c r="A12" s="1">
        <v>3</v>
      </c>
      <c r="B12">
        <v>19</v>
      </c>
      <c r="C12" s="24">
        <v>0.6</v>
      </c>
      <c r="D12" s="24"/>
      <c r="E12" t="s">
        <v>270</v>
      </c>
      <c r="F12" t="s">
        <v>48</v>
      </c>
      <c r="G12" s="24">
        <v>1</v>
      </c>
    </row>
    <row r="13" spans="1:8" x14ac:dyDescent="0.2">
      <c r="A13" s="1">
        <v>3</v>
      </c>
      <c r="B13">
        <v>20</v>
      </c>
      <c r="C13" s="24">
        <v>0.7</v>
      </c>
      <c r="D13" s="24"/>
      <c r="E13" t="s">
        <v>270</v>
      </c>
      <c r="F13" t="s">
        <v>384</v>
      </c>
      <c r="G13" s="24">
        <v>1</v>
      </c>
      <c r="H13" s="17" t="s">
        <v>382</v>
      </c>
    </row>
    <row r="14" spans="1:8" x14ac:dyDescent="0.2">
      <c r="A14" s="1">
        <v>3</v>
      </c>
      <c r="B14">
        <v>21</v>
      </c>
      <c r="C14" s="24">
        <v>1</v>
      </c>
      <c r="D14" s="24"/>
      <c r="E14" t="s">
        <v>270</v>
      </c>
      <c r="F14" t="s">
        <v>372</v>
      </c>
      <c r="G14" s="24">
        <v>1</v>
      </c>
    </row>
    <row r="15" spans="1:8" x14ac:dyDescent="0.2">
      <c r="A15" s="1">
        <v>3</v>
      </c>
      <c r="B15">
        <v>22</v>
      </c>
      <c r="C15" s="24">
        <v>1</v>
      </c>
      <c r="D15" s="24"/>
      <c r="E15" t="s">
        <v>270</v>
      </c>
      <c r="F15" t="s">
        <v>373</v>
      </c>
      <c r="G15" s="24">
        <v>1</v>
      </c>
    </row>
    <row r="16" spans="1:8" x14ac:dyDescent="0.2">
      <c r="A16" s="1">
        <v>3</v>
      </c>
      <c r="B16">
        <v>23</v>
      </c>
      <c r="C16" s="24">
        <v>0</v>
      </c>
      <c r="D16" s="24"/>
      <c r="E16" t="s">
        <v>270</v>
      </c>
      <c r="F16" t="s">
        <v>371</v>
      </c>
      <c r="G16" s="24">
        <v>0</v>
      </c>
      <c r="H16" s="17" t="s">
        <v>383</v>
      </c>
    </row>
    <row r="17" spans="1:8" x14ac:dyDescent="0.2">
      <c r="A17" s="1">
        <v>4</v>
      </c>
      <c r="B17">
        <v>24</v>
      </c>
      <c r="C17" s="24">
        <v>1</v>
      </c>
      <c r="D17" s="24"/>
      <c r="E17" t="s">
        <v>267</v>
      </c>
      <c r="F17" t="s">
        <v>551</v>
      </c>
      <c r="G17" s="24">
        <v>1</v>
      </c>
    </row>
    <row r="18" spans="1:8" x14ac:dyDescent="0.2">
      <c r="A18" s="1">
        <v>4</v>
      </c>
      <c r="B18">
        <v>25</v>
      </c>
      <c r="C18" s="24">
        <v>1</v>
      </c>
      <c r="D18" s="24"/>
      <c r="E18" t="s">
        <v>267</v>
      </c>
      <c r="F18" t="s">
        <v>82</v>
      </c>
      <c r="G18" s="24">
        <v>1</v>
      </c>
    </row>
    <row r="19" spans="1:8" x14ac:dyDescent="0.2">
      <c r="A19" s="1">
        <v>4</v>
      </c>
      <c r="B19">
        <v>26</v>
      </c>
      <c r="C19" s="24">
        <v>1</v>
      </c>
      <c r="D19" s="24"/>
      <c r="E19" t="s">
        <v>267</v>
      </c>
      <c r="F19" t="s">
        <v>409</v>
      </c>
      <c r="G19" s="24">
        <v>1</v>
      </c>
    </row>
    <row r="20" spans="1:8" x14ac:dyDescent="0.2">
      <c r="A20" s="1">
        <v>4</v>
      </c>
      <c r="B20">
        <v>27</v>
      </c>
      <c r="C20" s="24">
        <v>0.1</v>
      </c>
      <c r="D20" s="24"/>
      <c r="E20" t="s">
        <v>267</v>
      </c>
      <c r="F20" t="s">
        <v>410</v>
      </c>
      <c r="G20" s="24">
        <v>0</v>
      </c>
    </row>
    <row r="21" spans="1:8" x14ac:dyDescent="0.2">
      <c r="A21" s="1">
        <v>4</v>
      </c>
      <c r="B21">
        <v>28</v>
      </c>
      <c r="C21" s="24"/>
      <c r="D21" s="24"/>
      <c r="E21" t="s">
        <v>267</v>
      </c>
      <c r="F21" t="s">
        <v>411</v>
      </c>
      <c r="G21" s="24"/>
    </row>
    <row r="22" spans="1:8" x14ac:dyDescent="0.2">
      <c r="A22" s="1">
        <v>5</v>
      </c>
      <c r="B22">
        <v>29</v>
      </c>
      <c r="C22" s="24">
        <v>0.6</v>
      </c>
      <c r="D22" s="24"/>
      <c r="E22" t="s">
        <v>273</v>
      </c>
      <c r="F22" t="s">
        <v>414</v>
      </c>
      <c r="G22" s="24">
        <v>1</v>
      </c>
    </row>
    <row r="23" spans="1:8" x14ac:dyDescent="0.2">
      <c r="A23" s="1">
        <v>5</v>
      </c>
      <c r="B23">
        <v>30</v>
      </c>
      <c r="C23" s="24">
        <v>0.2</v>
      </c>
      <c r="D23" s="24"/>
      <c r="E23" t="s">
        <v>273</v>
      </c>
      <c r="F23" t="s">
        <v>414</v>
      </c>
      <c r="G23" s="24">
        <v>1</v>
      </c>
    </row>
    <row r="24" spans="1:8" x14ac:dyDescent="0.2">
      <c r="A24" s="1">
        <v>5</v>
      </c>
      <c r="B24">
        <v>31</v>
      </c>
      <c r="C24" s="24">
        <v>0.2</v>
      </c>
      <c r="D24" s="24"/>
      <c r="E24" t="s">
        <v>273</v>
      </c>
      <c r="F24" t="s">
        <v>414</v>
      </c>
      <c r="G24" s="24">
        <v>1</v>
      </c>
    </row>
    <row r="25" spans="1:8" x14ac:dyDescent="0.2">
      <c r="A25" s="1">
        <v>6</v>
      </c>
      <c r="B25">
        <v>32</v>
      </c>
      <c r="C25" s="24">
        <v>0.4</v>
      </c>
      <c r="D25" s="24"/>
      <c r="E25" t="s">
        <v>263</v>
      </c>
      <c r="F25" t="s">
        <v>414</v>
      </c>
      <c r="G25" s="24">
        <v>1</v>
      </c>
    </row>
    <row r="26" spans="1:8" x14ac:dyDescent="0.2">
      <c r="A26" s="1">
        <v>6</v>
      </c>
      <c r="B26">
        <v>34</v>
      </c>
      <c r="C26" s="24">
        <v>0.4</v>
      </c>
      <c r="D26" s="24"/>
      <c r="E26" t="s">
        <v>263</v>
      </c>
      <c r="F26" t="s">
        <v>414</v>
      </c>
      <c r="G26" s="24">
        <v>1</v>
      </c>
    </row>
    <row r="27" spans="1:8" x14ac:dyDescent="0.2">
      <c r="A27" s="1">
        <v>6</v>
      </c>
      <c r="B27">
        <v>35</v>
      </c>
      <c r="C27" s="24">
        <v>0.2</v>
      </c>
      <c r="D27" s="24"/>
      <c r="E27" t="s">
        <v>263</v>
      </c>
      <c r="F27" t="s">
        <v>414</v>
      </c>
      <c r="G27" s="24">
        <v>1</v>
      </c>
    </row>
    <row r="28" spans="1:8" x14ac:dyDescent="0.2">
      <c r="A28" s="1">
        <v>10</v>
      </c>
      <c r="B28">
        <v>66</v>
      </c>
      <c r="C28" s="24">
        <v>1</v>
      </c>
      <c r="E28" s="17" t="s">
        <v>413</v>
      </c>
      <c r="F28" t="s">
        <v>416</v>
      </c>
    </row>
    <row r="29" spans="1:8" x14ac:dyDescent="0.2">
      <c r="A29" s="1">
        <v>10</v>
      </c>
      <c r="B29">
        <v>67</v>
      </c>
      <c r="C29" s="24">
        <v>1</v>
      </c>
      <c r="E29" s="17" t="s">
        <v>413</v>
      </c>
      <c r="F29" t="s">
        <v>416</v>
      </c>
    </row>
    <row r="30" spans="1:8" x14ac:dyDescent="0.2">
      <c r="A30" s="1">
        <v>10</v>
      </c>
      <c r="B30">
        <v>68</v>
      </c>
      <c r="C30" s="24">
        <v>1</v>
      </c>
      <c r="E30" s="17" t="s">
        <v>413</v>
      </c>
      <c r="F30" t="s">
        <v>417</v>
      </c>
    </row>
    <row r="31" spans="1:8" x14ac:dyDescent="0.2">
      <c r="A31" s="1">
        <v>10</v>
      </c>
      <c r="B31">
        <v>69</v>
      </c>
      <c r="C31" s="24">
        <v>0.7</v>
      </c>
      <c r="E31" s="17" t="s">
        <v>413</v>
      </c>
      <c r="F31" t="s">
        <v>460</v>
      </c>
      <c r="G31" s="24">
        <v>1</v>
      </c>
      <c r="H31" s="17" t="s">
        <v>459</v>
      </c>
    </row>
  </sheetData>
  <sortState xmlns:xlrd2="http://schemas.microsoft.com/office/spreadsheetml/2017/richdata2" ref="A4:I27">
    <sortCondition ref="A4:A27"/>
    <sortCondition ref="B4:B27"/>
  </sortState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C051-75BB-1B42-9CF2-2D1ED4B49E44}">
  <dimension ref="A1:G13"/>
  <sheetViews>
    <sheetView workbookViewId="0">
      <pane ySplit="2" topLeftCell="A3" activePane="bottomLeft" state="frozen"/>
      <selection pane="bottomLeft" activeCell="G5" sqref="G5:G6"/>
    </sheetView>
  </sheetViews>
  <sheetFormatPr baseColWidth="10" defaultRowHeight="15" x14ac:dyDescent="0.2"/>
  <cols>
    <col min="1" max="1" width="7.1640625" style="17" customWidth="1"/>
    <col min="3" max="3" width="15.33203125" customWidth="1"/>
    <col min="4" max="4" width="8.1640625" style="1" customWidth="1"/>
    <col min="5" max="5" width="13.6640625" style="1" customWidth="1"/>
    <col min="6" max="6" width="25.1640625" style="1" customWidth="1"/>
    <col min="7" max="7" width="66.6640625" customWidth="1"/>
  </cols>
  <sheetData>
    <row r="1" spans="1:7" s="56" customFormat="1" ht="21" customHeight="1" x14ac:dyDescent="0.2">
      <c r="A1" s="57" t="s">
        <v>662</v>
      </c>
      <c r="D1" s="59"/>
      <c r="E1" s="59"/>
      <c r="F1" s="59"/>
    </row>
    <row r="2" spans="1:7" s="9" customFormat="1" x14ac:dyDescent="0.2">
      <c r="A2" s="58" t="s">
        <v>220</v>
      </c>
      <c r="B2" s="9" t="s">
        <v>545</v>
      </c>
      <c r="C2" s="9" t="s">
        <v>229</v>
      </c>
      <c r="D2" s="60" t="s">
        <v>234</v>
      </c>
      <c r="E2" s="60" t="s">
        <v>81</v>
      </c>
      <c r="F2" s="60" t="s">
        <v>235</v>
      </c>
      <c r="G2" s="9" t="s">
        <v>663</v>
      </c>
    </row>
    <row r="3" spans="1:7" x14ac:dyDescent="0.2">
      <c r="A3" s="17">
        <v>305</v>
      </c>
      <c r="B3" t="str">
        <f>VLOOKUP($A3,rules!$A:$Y,2,FALSE)</f>
        <v>STAYMAN</v>
      </c>
      <c r="C3" t="str">
        <f>VLOOKUP($A3,rules!$A:$Y,18,FALSE) &amp; " " &amp; VLOOKUP($A3,rules!$A:$Y,25,FALSE)</f>
        <v>2T - 2K - 3m</v>
      </c>
      <c r="D3" s="1">
        <f>VLOOKUP($A3,rules!$A:$AB,26,FALSE)</f>
        <v>0</v>
      </c>
      <c r="E3" s="1" t="str">
        <f>VLOOKUP($A3,rules!$A:$AB,27,FALSE)</f>
        <v>manche</v>
      </c>
      <c r="F3" s="1" t="str">
        <f>VLOOKUP($A3,rules!$A:$AB,28,FALSE)</f>
        <v>Stayman</v>
      </c>
    </row>
    <row r="4" spans="1:7" x14ac:dyDescent="0.2">
      <c r="A4" s="17">
        <v>306</v>
      </c>
      <c r="B4" t="str">
        <f>VLOOKUP($A4,rules!$A:$Y,2,FALSE)</f>
        <v>STAYMAN</v>
      </c>
      <c r="C4" t="str">
        <f>VLOOKUP($A4,rules!$A:$Y,18,FALSE) &amp; " " &amp; VLOOKUP($A4,rules!$A:$Y,25,FALSE)</f>
        <v>2T - 2K - 3m</v>
      </c>
      <c r="D4" s="1">
        <f>VLOOKUP($A4,rules!$A:$AB,26,FALSE)</f>
        <v>0</v>
      </c>
      <c r="E4" s="1" t="str">
        <f>VLOOKUP($A4,rules!$A:$AB,27,FALSE)</f>
        <v>manche</v>
      </c>
      <c r="F4" s="1" t="str">
        <f>VLOOKUP($A4,rules!$A:$AB,28,FALSE)</f>
        <v>Stayman</v>
      </c>
    </row>
    <row r="5" spans="1:7" x14ac:dyDescent="0.2">
      <c r="A5" s="17">
        <v>317</v>
      </c>
      <c r="B5" t="str">
        <f>VLOOKUP($A5,rules!$A:$Y,2,FALSE)</f>
        <v>STAYMAN</v>
      </c>
      <c r="C5" t="str">
        <f>VLOOKUP($A5,rules!$A:$Y,18,FALSE) &amp; " " &amp; VLOOKUP($A5,rules!$A:$Y,25,FALSE)</f>
        <v>2T - 2C - 3P</v>
      </c>
      <c r="D5" s="1">
        <f>VLOOKUP($A5,rules!$A:$AB,26,FALSE)</f>
        <v>1</v>
      </c>
      <c r="E5" s="1" t="str">
        <f>VLOOKUP($A5,rules!$A:$AB,27,FALSE)</f>
        <v>forcing</v>
      </c>
      <c r="F5" s="1" t="str">
        <f>VLOOKUP($A5,rules!$A:$AB,28,FALSE)</f>
        <v>Convention 2012</v>
      </c>
      <c r="G5" t="s">
        <v>664</v>
      </c>
    </row>
    <row r="6" spans="1:7" x14ac:dyDescent="0.2">
      <c r="A6" s="17">
        <v>318</v>
      </c>
      <c r="B6" t="str">
        <f>VLOOKUP($A6,rules!$A:$Y,2,FALSE)</f>
        <v>STAYMAN</v>
      </c>
      <c r="C6" t="str">
        <f>VLOOKUP($A6,rules!$A:$Y,18,FALSE) &amp; " " &amp; VLOOKUP($A6,rules!$A:$Y,25,FALSE)</f>
        <v>2T - 2P - 3C</v>
      </c>
      <c r="D6" s="1">
        <f>VLOOKUP($A6,rules!$A:$AB,26,FALSE)</f>
        <v>1</v>
      </c>
      <c r="E6" s="1" t="str">
        <f>VLOOKUP($A6,rules!$A:$AB,27,FALSE)</f>
        <v>forcing</v>
      </c>
      <c r="F6" s="1" t="str">
        <f>VLOOKUP($A6,rules!$A:$AB,28,FALSE)</f>
        <v>Convention 2012</v>
      </c>
      <c r="G6" t="s">
        <v>664</v>
      </c>
    </row>
    <row r="7" spans="1:7" x14ac:dyDescent="0.2">
      <c r="A7" s="17">
        <v>319</v>
      </c>
      <c r="B7" t="str">
        <f>VLOOKUP($A7,rules!$A:$Y,2,FALSE)</f>
        <v>STAYMAN</v>
      </c>
      <c r="C7" t="str">
        <f>VLOOKUP($A7,rules!$A:$Y,18,FALSE) &amp; " " &amp; VLOOKUP($A7,rules!$A:$Y,25,FALSE)</f>
        <v>2T - 2M - 3m</v>
      </c>
      <c r="D7" s="1">
        <f>VLOOKUP($A7,rules!$A:$AB,26,FALSE)</f>
        <v>0</v>
      </c>
      <c r="E7" s="1" t="str">
        <f>VLOOKUP($A7,rules!$A:$AB,27,FALSE)</f>
        <v>manche</v>
      </c>
      <c r="F7" s="1" t="str">
        <f>VLOOKUP($A7,rules!$A:$AB,28,FALSE)</f>
        <v>Stayman</v>
      </c>
    </row>
    <row r="8" spans="1:7" x14ac:dyDescent="0.2">
      <c r="A8" s="17">
        <v>320</v>
      </c>
      <c r="B8" t="str">
        <f>VLOOKUP($A8,rules!$A:$Y,2,FALSE)</f>
        <v>STAYMAN</v>
      </c>
      <c r="C8" t="str">
        <f>VLOOKUP($A8,rules!$A:$Y,18,FALSE) &amp; " " &amp; VLOOKUP($A8,rules!$A:$Y,25,FALSE)</f>
        <v>2T - 2M - 3m</v>
      </c>
      <c r="D8" s="1">
        <f>VLOOKUP($A8,rules!$A:$AB,26,FALSE)</f>
        <v>0</v>
      </c>
      <c r="E8" s="1" t="str">
        <f>VLOOKUP($A8,rules!$A:$AB,27,FALSE)</f>
        <v>manche</v>
      </c>
      <c r="F8" s="1" t="str">
        <f>VLOOKUP($A8,rules!$A:$AB,28,FALSE)</f>
        <v>Stayman</v>
      </c>
    </row>
    <row r="9" spans="1:7" x14ac:dyDescent="0.2">
      <c r="A9" s="17">
        <v>325</v>
      </c>
      <c r="B9" t="str">
        <f>VLOOKUP($A9,rules!$A:$Y,2,FALSE)</f>
        <v>STAYMAN</v>
      </c>
      <c r="C9" t="str">
        <f>VLOOKUP($A9,rules!$A:$Y,18,FALSE) &amp; " " &amp; VLOOKUP($A9,rules!$A:$Y,25,FALSE)</f>
        <v>2T - 2SA - 3C</v>
      </c>
      <c r="D9" s="1">
        <f>VLOOKUP($A9,rules!$A:$AB,26,FALSE)</f>
        <v>0</v>
      </c>
      <c r="E9" s="1" t="str">
        <f>VLOOKUP($A9,rules!$A:$AB,27,FALSE)</f>
        <v>forcing</v>
      </c>
      <c r="F9" s="1">
        <f>VLOOKUP($A9,rules!$A:$AB,28,FALSE)</f>
        <v>0</v>
      </c>
      <c r="G9" t="s">
        <v>664</v>
      </c>
    </row>
    <row r="10" spans="1:7" x14ac:dyDescent="0.2">
      <c r="A10" s="17">
        <v>326</v>
      </c>
      <c r="B10" t="str">
        <f>VLOOKUP($A10,rules!$A:$Y,2,FALSE)</f>
        <v>STAYMAN</v>
      </c>
      <c r="C10" t="str">
        <f>VLOOKUP($A10,rules!$A:$Y,18,FALSE) &amp; " " &amp; VLOOKUP($A10,rules!$A:$Y,25,FALSE)</f>
        <v>2T - 2SA - 3P</v>
      </c>
      <c r="D10" s="1">
        <f>VLOOKUP($A10,rules!$A:$AB,26,FALSE)</f>
        <v>0</v>
      </c>
      <c r="E10" s="1" t="str">
        <f>VLOOKUP($A10,rules!$A:$AB,27,FALSE)</f>
        <v>forcing</v>
      </c>
      <c r="F10" s="1">
        <f>VLOOKUP($A10,rules!$A:$AB,28,FALSE)</f>
        <v>0</v>
      </c>
      <c r="G10" t="s">
        <v>664</v>
      </c>
    </row>
    <row r="11" spans="1:7" x14ac:dyDescent="0.2">
      <c r="A11" s="17">
        <v>327</v>
      </c>
      <c r="B11" t="str">
        <f>VLOOKUP($A11,rules!$A:$Y,2,FALSE)</f>
        <v>STAYMAN</v>
      </c>
      <c r="C11" t="str">
        <f>VLOOKUP($A11,rules!$A:$Y,18,FALSE) &amp; " " &amp; VLOOKUP($A11,rules!$A:$Y,25,FALSE)</f>
        <v>2T - 2M - 4T</v>
      </c>
      <c r="D11" s="1">
        <f>VLOOKUP($A11,rules!$A:$AB,26,FALSE)</f>
        <v>1</v>
      </c>
      <c r="E11" s="1">
        <f>VLOOKUP($A11,rules!$A:$AB,27,FALSE)</f>
        <v>0</v>
      </c>
      <c r="F11" s="1" t="str">
        <f>VLOOKUP($A11,rules!$A:$AB,28,FALSE)</f>
        <v>Splinter</v>
      </c>
    </row>
    <row r="12" spans="1:7" x14ac:dyDescent="0.2">
      <c r="A12" s="17">
        <v>328</v>
      </c>
      <c r="B12" t="str">
        <f>VLOOKUP($A12,rules!$A:$Y,2,FALSE)</f>
        <v>STAYMAN</v>
      </c>
      <c r="C12" t="str">
        <f>VLOOKUP($A12,rules!$A:$Y,18,FALSE) &amp; " " &amp; VLOOKUP($A12,rules!$A:$Y,25,FALSE)</f>
        <v>2T - 2M - 4K</v>
      </c>
      <c r="D12" s="1">
        <f>VLOOKUP($A12,rules!$A:$AB,26,FALSE)</f>
        <v>1</v>
      </c>
      <c r="E12" s="1">
        <f>VLOOKUP($A12,rules!$A:$AB,27,FALSE)</f>
        <v>0</v>
      </c>
      <c r="F12" s="1" t="str">
        <f>VLOOKUP($A12,rules!$A:$AB,28,FALSE)</f>
        <v>Splinter</v>
      </c>
    </row>
    <row r="13" spans="1:7" x14ac:dyDescent="0.2">
      <c r="A13" s="17">
        <v>329</v>
      </c>
      <c r="B13" t="str">
        <f>VLOOKUP($A13,rules!$A:$Y,2,FALSE)</f>
        <v>STAYMAN</v>
      </c>
      <c r="C13" t="str">
        <f>VLOOKUP($A13,rules!$A:$Y,18,FALSE) &amp; " " &amp; VLOOKUP($A13,rules!$A:$Y,25,FALSE)</f>
        <v>2T - 2P - 4C</v>
      </c>
      <c r="D13" s="1">
        <f>VLOOKUP($A13,rules!$A:$AB,26,FALSE)</f>
        <v>1</v>
      </c>
      <c r="E13" s="1">
        <f>VLOOKUP($A13,rules!$A:$AB,27,FALSE)</f>
        <v>0</v>
      </c>
      <c r="F13" s="1" t="str">
        <f>VLOOKUP($A13,rules!$A:$AB,28,FALSE)</f>
        <v>Splinter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913C-CC6B-3A4C-BABD-A7BBDC814638}">
  <dimension ref="A1:F91"/>
  <sheetViews>
    <sheetView workbookViewId="0">
      <pane ySplit="1" topLeftCell="A2" activePane="bottomLeft" state="frozen"/>
      <selection pane="bottomLeft" activeCell="H42" sqref="H42"/>
    </sheetView>
  </sheetViews>
  <sheetFormatPr baseColWidth="10" defaultRowHeight="15" x14ac:dyDescent="0.2"/>
  <cols>
    <col min="6" max="6" width="10.83203125" style="17"/>
  </cols>
  <sheetData>
    <row r="1" spans="1:6" x14ac:dyDescent="0.2">
      <c r="B1" s="29" t="s">
        <v>252</v>
      </c>
      <c r="D1" t="s">
        <v>280</v>
      </c>
      <c r="F1" s="17" t="s">
        <v>474</v>
      </c>
    </row>
    <row r="3" spans="1:6" x14ac:dyDescent="0.2">
      <c r="A3" t="s">
        <v>462</v>
      </c>
      <c r="B3" t="s">
        <v>12</v>
      </c>
    </row>
    <row r="7" spans="1:6" x14ac:dyDescent="0.2">
      <c r="A7" t="s">
        <v>461</v>
      </c>
      <c r="B7" t="s">
        <v>19</v>
      </c>
    </row>
    <row r="11" spans="1:6" x14ac:dyDescent="0.2">
      <c r="A11" t="s">
        <v>471</v>
      </c>
      <c r="B11" t="s">
        <v>25</v>
      </c>
    </row>
    <row r="17" spans="1:6" x14ac:dyDescent="0.2">
      <c r="A17" t="s">
        <v>463</v>
      </c>
      <c r="B17" t="s">
        <v>27</v>
      </c>
      <c r="D17" t="s">
        <v>249</v>
      </c>
    </row>
    <row r="26" spans="1:6" x14ac:dyDescent="0.2">
      <c r="A26" t="s">
        <v>472</v>
      </c>
      <c r="B26" t="s">
        <v>34</v>
      </c>
      <c r="D26" t="s">
        <v>249</v>
      </c>
      <c r="E26" t="s">
        <v>491</v>
      </c>
      <c r="F26" s="17" t="s">
        <v>27</v>
      </c>
    </row>
    <row r="27" spans="1:6" x14ac:dyDescent="0.2">
      <c r="B27" t="s">
        <v>480</v>
      </c>
      <c r="E27" t="s">
        <v>481</v>
      </c>
      <c r="F27" s="17" t="s">
        <v>37</v>
      </c>
    </row>
    <row r="28" spans="1:6" x14ac:dyDescent="0.2">
      <c r="E28" t="s">
        <v>492</v>
      </c>
      <c r="F28" s="17" t="s">
        <v>257</v>
      </c>
    </row>
    <row r="29" spans="1:6" x14ac:dyDescent="0.2">
      <c r="E29" t="s">
        <v>490</v>
      </c>
      <c r="F29" s="13" t="s">
        <v>66</v>
      </c>
    </row>
    <row r="30" spans="1:6" x14ac:dyDescent="0.2">
      <c r="E30" t="s">
        <v>478</v>
      </c>
      <c r="F30" s="17" t="s">
        <v>19</v>
      </c>
    </row>
    <row r="31" spans="1:6" x14ac:dyDescent="0.2">
      <c r="E31" t="s">
        <v>496</v>
      </c>
      <c r="F31" s="17" t="s">
        <v>12</v>
      </c>
    </row>
    <row r="32" spans="1:6" x14ac:dyDescent="0.2">
      <c r="E32" t="s">
        <v>476</v>
      </c>
      <c r="F32" s="17" t="s">
        <v>40</v>
      </c>
    </row>
    <row r="33" spans="1:6" x14ac:dyDescent="0.2">
      <c r="B33" t="s">
        <v>489</v>
      </c>
      <c r="E33" t="s">
        <v>488</v>
      </c>
      <c r="F33" s="13" t="s">
        <v>65</v>
      </c>
    </row>
    <row r="34" spans="1:6" x14ac:dyDescent="0.2">
      <c r="B34" t="s">
        <v>480</v>
      </c>
      <c r="E34" t="s">
        <v>494</v>
      </c>
      <c r="F34" s="17" t="s">
        <v>72</v>
      </c>
    </row>
    <row r="35" spans="1:6" x14ac:dyDescent="0.2">
      <c r="E35" t="s">
        <v>482</v>
      </c>
      <c r="F35" s="17" t="s">
        <v>257</v>
      </c>
    </row>
    <row r="36" spans="1:6" x14ac:dyDescent="0.2">
      <c r="E36" t="s">
        <v>477</v>
      </c>
      <c r="F36" s="17" t="s">
        <v>25</v>
      </c>
    </row>
    <row r="37" spans="1:6" x14ac:dyDescent="0.2">
      <c r="E37" t="s">
        <v>487</v>
      </c>
      <c r="F37" s="13" t="s">
        <v>62</v>
      </c>
    </row>
    <row r="38" spans="1:6" x14ac:dyDescent="0.2">
      <c r="E38" t="s">
        <v>475</v>
      </c>
      <c r="F38" s="17" t="s">
        <v>51</v>
      </c>
    </row>
    <row r="39" spans="1:6" x14ac:dyDescent="0.2">
      <c r="E39" t="s">
        <v>495</v>
      </c>
      <c r="F39" s="17" t="s">
        <v>254</v>
      </c>
    </row>
    <row r="40" spans="1:6" x14ac:dyDescent="0.2">
      <c r="E40" t="s">
        <v>483</v>
      </c>
      <c r="F40" s="17" t="s">
        <v>44</v>
      </c>
    </row>
    <row r="41" spans="1:6" x14ac:dyDescent="0.2">
      <c r="E41" t="s">
        <v>484</v>
      </c>
      <c r="F41" s="13" t="s">
        <v>58</v>
      </c>
    </row>
    <row r="42" spans="1:6" x14ac:dyDescent="0.2">
      <c r="E42" t="s">
        <v>485</v>
      </c>
      <c r="F42" s="13" t="s">
        <v>60</v>
      </c>
    </row>
    <row r="43" spans="1:6" x14ac:dyDescent="0.2">
      <c r="E43" t="s">
        <v>486</v>
      </c>
      <c r="F43" s="13" t="s">
        <v>61</v>
      </c>
    </row>
    <row r="44" spans="1:6" x14ac:dyDescent="0.2">
      <c r="E44" t="s">
        <v>479</v>
      </c>
      <c r="F44" s="17" t="s">
        <v>56</v>
      </c>
    </row>
    <row r="47" spans="1:6" x14ac:dyDescent="0.2">
      <c r="A47" t="s">
        <v>464</v>
      </c>
      <c r="B47" t="s">
        <v>37</v>
      </c>
      <c r="C47" t="s">
        <v>493</v>
      </c>
    </row>
    <row r="52" spans="1:4" x14ac:dyDescent="0.2">
      <c r="A52" t="s">
        <v>465</v>
      </c>
      <c r="B52" t="s">
        <v>31</v>
      </c>
    </row>
    <row r="53" spans="1:4" x14ac:dyDescent="0.2">
      <c r="D53" t="s">
        <v>34</v>
      </c>
    </row>
    <row r="54" spans="1:4" x14ac:dyDescent="0.2">
      <c r="D54" t="s">
        <v>40</v>
      </c>
    </row>
    <row r="55" spans="1:4" x14ac:dyDescent="0.2">
      <c r="D55" t="s">
        <v>254</v>
      </c>
    </row>
    <row r="56" spans="1:4" x14ac:dyDescent="0.2">
      <c r="D56" t="s">
        <v>255</v>
      </c>
    </row>
    <row r="57" spans="1:4" x14ac:dyDescent="0.2">
      <c r="D57" t="s">
        <v>27</v>
      </c>
    </row>
    <row r="58" spans="1:4" x14ac:dyDescent="0.2">
      <c r="D58" t="s">
        <v>25</v>
      </c>
    </row>
    <row r="59" spans="1:4" x14ac:dyDescent="0.2">
      <c r="D59" t="s">
        <v>44</v>
      </c>
    </row>
    <row r="60" spans="1:4" x14ac:dyDescent="0.2">
      <c r="D60" t="s">
        <v>66</v>
      </c>
    </row>
    <row r="61" spans="1:4" x14ac:dyDescent="0.2">
      <c r="D61" t="s">
        <v>323</v>
      </c>
    </row>
    <row r="65" spans="1:4" x14ac:dyDescent="0.2">
      <c r="A65" t="s">
        <v>466</v>
      </c>
      <c r="B65" t="s">
        <v>269</v>
      </c>
    </row>
    <row r="66" spans="1:4" x14ac:dyDescent="0.2">
      <c r="D66" t="s">
        <v>283</v>
      </c>
    </row>
    <row r="67" spans="1:4" x14ac:dyDescent="0.2">
      <c r="D67" t="s">
        <v>12</v>
      </c>
    </row>
    <row r="68" spans="1:4" x14ac:dyDescent="0.2">
      <c r="D68" t="s">
        <v>326</v>
      </c>
    </row>
    <row r="72" spans="1:4" x14ac:dyDescent="0.2">
      <c r="A72" t="s">
        <v>473</v>
      </c>
      <c r="B72" t="s">
        <v>283</v>
      </c>
    </row>
    <row r="73" spans="1:4" x14ac:dyDescent="0.2">
      <c r="D73" t="s">
        <v>19</v>
      </c>
    </row>
    <row r="74" spans="1:4" x14ac:dyDescent="0.2">
      <c r="D74" t="s">
        <v>74</v>
      </c>
    </row>
    <row r="75" spans="1:4" x14ac:dyDescent="0.2">
      <c r="D75" t="s">
        <v>327</v>
      </c>
    </row>
    <row r="79" spans="1:4" x14ac:dyDescent="0.2">
      <c r="A79" t="s">
        <v>467</v>
      </c>
      <c r="B79" s="5" t="s">
        <v>40</v>
      </c>
    </row>
    <row r="80" spans="1:4" x14ac:dyDescent="0.2">
      <c r="B80" s="5"/>
    </row>
    <row r="81" spans="1:2" x14ac:dyDescent="0.2">
      <c r="B81" s="5"/>
    </row>
    <row r="82" spans="1:2" x14ac:dyDescent="0.2">
      <c r="B82" s="5"/>
    </row>
    <row r="83" spans="1:2" x14ac:dyDescent="0.2">
      <c r="A83" t="s">
        <v>468</v>
      </c>
      <c r="B83" s="5" t="s">
        <v>254</v>
      </c>
    </row>
    <row r="84" spans="1:2" x14ac:dyDescent="0.2">
      <c r="B84" s="5"/>
    </row>
    <row r="85" spans="1:2" x14ac:dyDescent="0.2">
      <c r="B85" s="5"/>
    </row>
    <row r="86" spans="1:2" x14ac:dyDescent="0.2">
      <c r="B86" s="5"/>
    </row>
    <row r="87" spans="1:2" x14ac:dyDescent="0.2">
      <c r="A87" t="s">
        <v>469</v>
      </c>
      <c r="B87" s="5" t="s">
        <v>255</v>
      </c>
    </row>
    <row r="88" spans="1:2" x14ac:dyDescent="0.2">
      <c r="B88" s="5"/>
    </row>
    <row r="89" spans="1:2" x14ac:dyDescent="0.2">
      <c r="B89" s="5"/>
    </row>
    <row r="90" spans="1:2" x14ac:dyDescent="0.2">
      <c r="B90" s="5"/>
    </row>
    <row r="91" spans="1:2" x14ac:dyDescent="0.2">
      <c r="A91" t="s">
        <v>470</v>
      </c>
      <c r="B91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rules</vt:lpstr>
      <vt:lpstr>columns</vt:lpstr>
      <vt:lpstr>help</vt:lpstr>
      <vt:lpstr>SEF</vt:lpstr>
      <vt:lpstr>conclude</vt:lpstr>
      <vt:lpstr>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Rambert</dc:creator>
  <cp:lastModifiedBy>Famille Rambert</cp:lastModifiedBy>
  <dcterms:created xsi:type="dcterms:W3CDTF">2026-04-11T19:37:18Z</dcterms:created>
  <dcterms:modified xsi:type="dcterms:W3CDTF">2026-05-01T14:46:25Z</dcterms:modified>
</cp:coreProperties>
</file>