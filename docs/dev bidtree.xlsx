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mbert/projects/Bidding/docs/"/>
    </mc:Choice>
  </mc:AlternateContent>
  <xr:revisionPtr revIDLastSave="0" documentId="13_ncr:1_{A2BBD88C-AC97-A54D-B93C-70F115C06347}" xr6:coauthVersionLast="47" xr6:coauthVersionMax="47" xr10:uidLastSave="{00000000-0000-0000-0000-000000000000}"/>
  <bookViews>
    <workbookView xWindow="4880" yWindow="940" windowWidth="27640" windowHeight="19340" xr2:uid="{C67589D8-C51A-194F-8A92-BFA7BFE68D55}"/>
  </bookViews>
  <sheets>
    <sheet name="rules" sheetId="1" r:id="rId1"/>
    <sheet name="columns" sheetId="2" r:id="rId2"/>
    <sheet name="hel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8" i="1"/>
</calcChain>
</file>

<file path=xl/sharedStrings.xml><?xml version="1.0" encoding="utf-8"?>
<sst xmlns="http://schemas.openxmlformats.org/spreadsheetml/2006/main" count="810" uniqueCount="347">
  <si>
    <t>Enchère</t>
  </si>
  <si>
    <t>Remarque</t>
  </si>
  <si>
    <t>Points</t>
  </si>
  <si>
    <t>Distribution</t>
  </si>
  <si>
    <t>Levées de jeu</t>
  </si>
  <si>
    <t>Levées de défense</t>
  </si>
  <si>
    <t>Perdantes</t>
  </si>
  <si>
    <t>Spécifique B</t>
  </si>
  <si>
    <t>Situation</t>
  </si>
  <si>
    <t>Position</t>
  </si>
  <si>
    <t>Réveil</t>
  </si>
  <si>
    <t>Forcing</t>
  </si>
  <si>
    <t>Convention</t>
  </si>
  <si>
    <t>Système</t>
  </si>
  <si>
    <t>Séquence</t>
  </si>
  <si>
    <t>&gt;=24HL</t>
  </si>
  <si>
    <t>ouverture</t>
  </si>
  <si>
    <t>2K</t>
  </si>
  <si>
    <t>manche</t>
  </si>
  <si>
    <t>2 carreau forcing de manche</t>
  </si>
  <si>
    <t>SEF</t>
  </si>
  <si>
    <t>17H-23HL</t>
  </si>
  <si>
    <t>Majeure</t>
  </si>
  <si>
    <t>mineure</t>
  </si>
  <si>
    <t>20-23HL</t>
  </si>
  <si>
    <t>2T</t>
  </si>
  <si>
    <t>autoforcing</t>
  </si>
  <si>
    <t>2 fort indéterminé</t>
  </si>
  <si>
    <t>21-23 HL</t>
  </si>
  <si>
    <t>22-23HL</t>
  </si>
  <si>
    <t>20-21H</t>
  </si>
  <si>
    <t>2SA</t>
  </si>
  <si>
    <t>2 SA</t>
  </si>
  <si>
    <t>15H-17H</t>
  </si>
  <si>
    <t>1SA</t>
  </si>
  <si>
    <t>1 SA</t>
  </si>
  <si>
    <t>15-16H</t>
  </si>
  <si>
    <t>cœur ou carreau</t>
  </si>
  <si>
    <t>12H-23HL</t>
  </si>
  <si>
    <t>1CPA</t>
  </si>
  <si>
    <t>Majeure 5e</t>
  </si>
  <si>
    <t>meilleure mineure</t>
  </si>
  <si>
    <t>1m</t>
  </si>
  <si>
    <t>Meilleure mineure</t>
  </si>
  <si>
    <t>8H-11H</t>
  </si>
  <si>
    <t>BID03</t>
  </si>
  <si>
    <t>1M</t>
  </si>
  <si>
    <t>ouverture en 3e, après 2 passes</t>
  </si>
  <si>
    <t>10H-11H</t>
  </si>
  <si>
    <t>pique</t>
  </si>
  <si>
    <t>BID04</t>
  </si>
  <si>
    <t>1P</t>
  </si>
  <si>
    <t>ouverture en 4e, après 3 passes</t>
  </si>
  <si>
    <t>5-10H</t>
  </si>
  <si>
    <t>&lt;=1</t>
  </si>
  <si>
    <t>2CPA</t>
  </si>
  <si>
    <t>2M</t>
  </si>
  <si>
    <t>Barrage</t>
  </si>
  <si>
    <t>3CPA</t>
  </si>
  <si>
    <t>4CPA</t>
  </si>
  <si>
    <t>10-16H</t>
  </si>
  <si>
    <t>&gt;=7</t>
  </si>
  <si>
    <t>3SA</t>
  </si>
  <si>
    <t>Mineure affranchie</t>
  </si>
  <si>
    <t>6-10HLD</t>
  </si>
  <si>
    <t>&gt;=3</t>
  </si>
  <si>
    <t>ROSA</t>
  </si>
  <si>
    <t>11-12HLD</t>
  </si>
  <si>
    <t>2 SA fitté</t>
  </si>
  <si>
    <t>3M</t>
  </si>
  <si>
    <t>&gt;=12H</t>
  </si>
  <si>
    <t>carreau</t>
  </si>
  <si>
    <t>2/1 forcing manche</t>
  </si>
  <si>
    <t>13-15HLD</t>
  </si>
  <si>
    <t>3 SA fitté</t>
  </si>
  <si>
    <t>6-9H</t>
  </si>
  <si>
    <t>4M</t>
  </si>
  <si>
    <t>8-9H</t>
  </si>
  <si>
    <t>4T</t>
  </si>
  <si>
    <t>Splinter</t>
  </si>
  <si>
    <t>4K</t>
  </si>
  <si>
    <t>4C</t>
  </si>
  <si>
    <t>3P</t>
  </si>
  <si>
    <t>cœur</t>
  </si>
  <si>
    <t>&gt;=5</t>
  </si>
  <si>
    <t>&lt;3</t>
  </si>
  <si>
    <t>2C</t>
  </si>
  <si>
    <t>2m</t>
  </si>
  <si>
    <t>&gt;=6HL</t>
  </si>
  <si>
    <r>
      <t>6-</t>
    </r>
    <r>
      <rPr>
        <sz val="11"/>
        <color rgb="FFFF0000"/>
        <rFont val="Aptos Narrow (Corps)"/>
      </rPr>
      <t>11H</t>
    </r>
  </si>
  <si>
    <t>Bicolore au moins 5/5</t>
  </si>
  <si>
    <t>cœur, pique</t>
  </si>
  <si>
    <t>intervention</t>
  </si>
  <si>
    <t>BID12</t>
  </si>
  <si>
    <t>Michael's cuebids précisés</t>
  </si>
  <si>
    <t>intervention du n°2 juste après l'ouvreur</t>
  </si>
  <si>
    <t>carreau, cœur</t>
  </si>
  <si>
    <t>trèfle, cœur</t>
  </si>
  <si>
    <t>carreau, trèfle</t>
  </si>
  <si>
    <t>pique, trèfle</t>
  </si>
  <si>
    <t>cœur, trèfle</t>
  </si>
  <si>
    <t>2P</t>
  </si>
  <si>
    <t>pique, carreau</t>
  </si>
  <si>
    <t>3T</t>
  </si>
  <si>
    <t>cœur, carreau</t>
  </si>
  <si>
    <t>8-18HL</t>
  </si>
  <si>
    <t>11-18HL</t>
  </si>
  <si>
    <t>&gt;=6</t>
  </si>
  <si>
    <t>CPA&lt;&gt;couleur(BID11)</t>
  </si>
  <si>
    <t>sans saut</t>
  </si>
  <si>
    <t>trèfle</t>
  </si>
  <si>
    <t>14-18HL</t>
  </si>
  <si>
    <t>&gt;=9HL</t>
  </si>
  <si>
    <t>forcing</t>
  </si>
  <si>
    <t>Stayman</t>
  </si>
  <si>
    <t>séquence</t>
  </si>
  <si>
    <t>Réponse au Stayman</t>
  </si>
  <si>
    <t>majeure au moins 4e</t>
  </si>
  <si>
    <t>9HL</t>
  </si>
  <si>
    <t>Proposition de manche</t>
  </si>
  <si>
    <t>10-15HL</t>
  </si>
  <si>
    <t>16-17HL</t>
  </si>
  <si>
    <t>4SA</t>
  </si>
  <si>
    <t>Proposition de petit chelem</t>
  </si>
  <si>
    <t>18-19HL</t>
  </si>
  <si>
    <t>6SA</t>
  </si>
  <si>
    <t>20-21HL</t>
  </si>
  <si>
    <t>5SA</t>
  </si>
  <si>
    <t>Proposition de grand chelem</t>
  </si>
  <si>
    <t>22-25HL</t>
  </si>
  <si>
    <t>7SA</t>
  </si>
  <si>
    <t>Colonne</t>
  </si>
  <si>
    <t>Concerne</t>
  </si>
  <si>
    <t>Description</t>
  </si>
  <si>
    <t>Format</t>
  </si>
  <si>
    <t>Condition sur les points du joueur</t>
  </si>
  <si>
    <t>[&gt;=]nnn[H][L][-ppp]H[L][D]</t>
  </si>
  <si>
    <t>[x]</t>
  </si>
  <si>
    <t>x facultatif</t>
  </si>
  <si>
    <t>entiers</t>
  </si>
  <si>
    <t>nnn ou ppp</t>
  </si>
  <si>
    <t>Distribution de la main</t>
  </si>
  <si>
    <t>Enumération</t>
  </si>
  <si>
    <t>oui</t>
  </si>
  <si>
    <t>Bicouleurs</t>
  </si>
  <si>
    <t>2 Couleurs du bicolore (ordre indifférent)</t>
  </si>
  <si>
    <t>Couleur principale A</t>
  </si>
  <si>
    <t>CPA et CPB</t>
  </si>
  <si>
    <t>Si CPA et CPB ont 4 cartes, CPA est la couleur la plus économique</t>
  </si>
  <si>
    <t>Si CPA et CPB ont 5 cartes, CPA est la couleur la plus chère</t>
  </si>
  <si>
    <t>Sinon CPA est la couleur ayant le plus de cartes</t>
  </si>
  <si>
    <t>et CPB est la 2e couleur en nombre de cartes</t>
  </si>
  <si>
    <t>strings en minuscule séparés par ' ,'</t>
  </si>
  <si>
    <t>string en minuscule ou entier à 4 chiffres</t>
  </si>
  <si>
    <t>Valeurs</t>
  </si>
  <si>
    <t>les 4 couleurs</t>
  </si>
  <si>
    <t>une des 4 couleurs ou majeure ou mineure</t>
  </si>
  <si>
    <t>unicolore</t>
  </si>
  <si>
    <t>bicolore</t>
  </si>
  <si>
    <t>régulier</t>
  </si>
  <si>
    <t>bicolore 5/5</t>
  </si>
  <si>
    <t xml:space="preserve">Distribution </t>
  </si>
  <si>
    <t>string en minuscule</t>
  </si>
  <si>
    <t>CPA</t>
  </si>
  <si>
    <t>Nombre de cartes dans la couleur A</t>
  </si>
  <si>
    <t>cartes CPA</t>
  </si>
  <si>
    <t>Cartes CPA</t>
  </si>
  <si>
    <t>CPB</t>
  </si>
  <si>
    <t>Cartes CPB</t>
  </si>
  <si>
    <t>Couleur principale B</t>
  </si>
  <si>
    <t>Nombre de cartes dans la couleur B</t>
  </si>
  <si>
    <t>Nombre de levées de défense</t>
  </si>
  <si>
    <t>float</t>
  </si>
  <si>
    <t>Nombre mini requis de levées de jeu</t>
  </si>
  <si>
    <t>&gt;=4</t>
  </si>
  <si>
    <t>[&gt;=]nnn</t>
  </si>
  <si>
    <t>&gt;=2</t>
  </si>
  <si>
    <t>[&gt;=][&lt;=]nnn</t>
  </si>
  <si>
    <t>Nombre max de perdantes</t>
  </si>
  <si>
    <t>n ou (a,b,c)</t>
  </si>
  <si>
    <t>a si vuln défav, b si vuln égale, c si vuln favorable</t>
  </si>
  <si>
    <t>(5,6,7)</t>
  </si>
  <si>
    <t>Cartes dans la couleur du partenaire</t>
  </si>
  <si>
    <t>OP</t>
  </si>
  <si>
    <t>&lt;, &lt;=, &gt;=, &gt;, vide (signifie =)</t>
  </si>
  <si>
    <t>OPnnn</t>
  </si>
  <si>
    <t>Cartes de fit</t>
  </si>
  <si>
    <t>string</t>
  </si>
  <si>
    <t>no_major_5</t>
  </si>
  <si>
    <t>Pas de majeure 5e</t>
  </si>
  <si>
    <t>Honneurs dans les couleurs courtes</t>
  </si>
  <si>
    <t>honors_in_short_colors</t>
  </si>
  <si>
    <t>honors_in_long_color</t>
  </si>
  <si>
    <t>Honneurs concentrés dans bicolore</t>
  </si>
  <si>
    <t>honors_in_bicolors</t>
  </si>
  <si>
    <t>honors_in_spade</t>
  </si>
  <si>
    <t>Honneurs à pique</t>
  </si>
  <si>
    <t>Au moins 4 piques</t>
  </si>
  <si>
    <t>at_least_4_spades</t>
  </si>
  <si>
    <t>no_short_color</t>
  </si>
  <si>
    <t>Pas de courte</t>
  </si>
  <si>
    <t>Honneurs dans couleur longue (&gt;=4H dans la couleur)</t>
  </si>
  <si>
    <t>all_honors_in_long_color</t>
  </si>
  <si>
    <t>ARDV dans la couleur</t>
  </si>
  <si>
    <t>Function name</t>
  </si>
  <si>
    <t>Arguments if any</t>
  </si>
  <si>
    <t>Returned value</t>
  </si>
  <si>
    <t>bool</t>
  </si>
  <si>
    <t>major_4</t>
  </si>
  <si>
    <t>Au moins une majeure exactement 4e</t>
  </si>
  <si>
    <t>Nombre de majeures au moins 4e</t>
  </si>
  <si>
    <t>short_color</t>
  </si>
  <si>
    <t>P,C,K,T</t>
  </si>
  <si>
    <t>La couleur donnée est courte</t>
  </si>
  <si>
    <t>short_color(T)</t>
  </si>
  <si>
    <t>short_color(K)</t>
  </si>
  <si>
    <t>short_color(C)</t>
  </si>
  <si>
    <t>short_color(P)</t>
  </si>
  <si>
    <t>Fonction à appeler avec main en paramètre</t>
  </si>
  <si>
    <t>majors_at_least_4(0)</t>
  </si>
  <si>
    <t>majors_at_least_4(1)</t>
  </si>
  <si>
    <t>majors_at_least_4(2)</t>
  </si>
  <si>
    <t>majors_at_least_4</t>
  </si>
  <si>
    <t>requested nbr of colors major 4 at least</t>
  </si>
  <si>
    <t>Spécifique main A</t>
  </si>
  <si>
    <t>Spécifique main B</t>
  </si>
  <si>
    <t>Calcul Enchère</t>
  </si>
  <si>
    <t>LECTURE DES CONDITIONS</t>
  </si>
  <si>
    <t>CONDITIONS IMPLICITES</t>
  </si>
  <si>
    <t>Toute enchère doit être supérieure à la dernière enchère hors PASSE.</t>
  </si>
  <si>
    <t>Cette enchère est une ouverture</t>
  </si>
  <si>
    <t>Cette enchère est une réponse à ouverture dans le silence adverse</t>
  </si>
  <si>
    <t>Cette enchère est une intervention</t>
  </si>
  <si>
    <t>Cette enchère s'inscrit dans une séquence, voir colonne séquence</t>
  </si>
  <si>
    <t>BIDab</t>
  </si>
  <si>
    <t>Les règles s'analysent une par une de haut en bas.</t>
  </si>
  <si>
    <t>Dès qu'une règle est satisfaite, l'enchère correspondante est énoncée par le joueur courant, et arrêt.</t>
  </si>
  <si>
    <t>L'enchère est PASSE si aucune règle n'est satisfaite pour la situation et le système donnés.</t>
  </si>
  <si>
    <t>Spécifique main</t>
  </si>
  <si>
    <t>Spécifique C</t>
  </si>
  <si>
    <t>Enchère antérieure</t>
  </si>
  <si>
    <t>DEFINITIONS</t>
  </si>
  <si>
    <t>Le joueur courant est celui dont c'est le tour d'enchérir.</t>
  </si>
  <si>
    <t>Une règle correspond à une ligne de l'onglet règles. Une règle est composée de plusieurs conditions.</t>
  </si>
  <si>
    <t>Une condition correspond à une case de l'onglet règles.</t>
  </si>
  <si>
    <t>Filtrer sur la situation et le système du joueur courant.</t>
  </si>
  <si>
    <t>Toutes les conditions de la ligne doivent être satifaites pour que la règle soit satisfaite.</t>
  </si>
  <si>
    <t>Sans indication contraire, les règles s'appliquent sur la main du joueur courant.</t>
  </si>
  <si>
    <t>BID11=1M</t>
  </si>
  <si>
    <t>BID11=1P</t>
  </si>
  <si>
    <t>BID11=1C</t>
  </si>
  <si>
    <t>BID11=1m</t>
  </si>
  <si>
    <t>BID11=1T</t>
  </si>
  <si>
    <t>BID11=1K</t>
  </si>
  <si>
    <t>BID11=1SA</t>
  </si>
  <si>
    <t>BID13=2T</t>
  </si>
  <si>
    <t>BID21=2K</t>
  </si>
  <si>
    <t>BID11=1A</t>
  </si>
  <si>
    <t>X</t>
  </si>
  <si>
    <t>XX</t>
  </si>
  <si>
    <t>contre</t>
  </si>
  <si>
    <t>surcontre</t>
  </si>
  <si>
    <t>passe</t>
  </si>
  <si>
    <t>n pique</t>
  </si>
  <si>
    <t>n cœur</t>
  </si>
  <si>
    <t>n carreau</t>
  </si>
  <si>
    <t>n trèfle</t>
  </si>
  <si>
    <t>n majeure</t>
  </si>
  <si>
    <t>n mineure</t>
  </si>
  <si>
    <t>n n'importe laquelle</t>
  </si>
  <si>
    <t>n sans atout</t>
  </si>
  <si>
    <t>nP</t>
  </si>
  <si>
    <t>nC</t>
  </si>
  <si>
    <t>nK</t>
  </si>
  <si>
    <t>nT</t>
  </si>
  <si>
    <t>nM</t>
  </si>
  <si>
    <t>nm</t>
  </si>
  <si>
    <t>nA</t>
  </si>
  <si>
    <t>nSA</t>
  </si>
  <si>
    <t>Joueur courant</t>
  </si>
  <si>
    <t>Main du joueur courant</t>
  </si>
  <si>
    <t>Situations</t>
  </si>
  <si>
    <t>Situation dans laquelle se trouve le joueur</t>
  </si>
  <si>
    <t>Position du joueur</t>
  </si>
  <si>
    <t>Positions</t>
  </si>
  <si>
    <t>a: tour d'enchère (0 avant ouverture)</t>
  </si>
  <si>
    <t>b: rang de la personne / ouvreur, valeurs 1 à 4. Avant l'ouverture, le rang du donneur est 1.</t>
  </si>
  <si>
    <t>exemples  BID11 : enchère d'ouverture, BID12 : 1e enchère ou passe du joueur juste après l'ouvreur</t>
  </si>
  <si>
    <t>Enchainement des enchères</t>
  </si>
  <si>
    <t>Le paramétrage du joueur courant doit inclure le système</t>
  </si>
  <si>
    <t>enum</t>
  </si>
  <si>
    <t>Symbole enchère</t>
  </si>
  <si>
    <t xml:space="preserve">Symboles enchères </t>
  </si>
  <si>
    <t>3A</t>
  </si>
  <si>
    <t>4A</t>
  </si>
  <si>
    <t>1A</t>
  </si>
  <si>
    <t>2A</t>
  </si>
  <si>
    <t xml:space="preserve">Fonction à appeler </t>
  </si>
  <si>
    <t>Enchère exacte à déclarer</t>
  </si>
  <si>
    <t>Représentation symbolique de l'enchère</t>
  </si>
  <si>
    <t>Artificielle</t>
  </si>
  <si>
    <t>Main et/ou historique enchères</t>
  </si>
  <si>
    <t xml:space="preserve">Historique des enchères </t>
  </si>
  <si>
    <t>BIDab='enchère'</t>
  </si>
  <si>
    <t>Enchère, et pas une condition</t>
  </si>
  <si>
    <t>1 ou vide</t>
  </si>
  <si>
    <t>1 si enchère artificielle</t>
  </si>
  <si>
    <t>Dénomination de la convention</t>
  </si>
  <si>
    <t>Doit appartenir à la séquence en cours si la situation est une séquence</t>
  </si>
  <si>
    <t>valeurs exclusives les unes des autres</t>
  </si>
  <si>
    <t>tricolore</t>
  </si>
  <si>
    <t>valeurs redondantes</t>
  </si>
  <si>
    <t>Spécifique xxx et Calcul enchère ==&gt; Fonctions Python</t>
  </si>
  <si>
    <t>page SEF2024</t>
  </si>
  <si>
    <t>system</t>
  </si>
  <si>
    <t>situation</t>
  </si>
  <si>
    <t>position</t>
  </si>
  <si>
    <t>sequence</t>
  </si>
  <si>
    <t>points</t>
  </si>
  <si>
    <t>distribution</t>
  </si>
  <si>
    <t>bicolor</t>
  </si>
  <si>
    <t>TITRE DES COLONNES</t>
  </si>
  <si>
    <t>La 1e ligne est un titre en français</t>
  </si>
  <si>
    <t>La 2e ligne est le nom du champ dans Python</t>
  </si>
  <si>
    <t>color1</t>
  </si>
  <si>
    <t>color1_count</t>
  </si>
  <si>
    <t>color2</t>
  </si>
  <si>
    <t>color2_count</t>
  </si>
  <si>
    <t>def_tricks</t>
  </si>
  <si>
    <t>lost_tricks</t>
  </si>
  <si>
    <t>won_tricks</t>
  </si>
  <si>
    <t>fit_cards</t>
  </si>
  <si>
    <t>awake</t>
  </si>
  <si>
    <t>hist_bid</t>
  </si>
  <si>
    <t>function1</t>
  </si>
  <si>
    <t>function2</t>
  </si>
  <si>
    <t>function3</t>
  </si>
  <si>
    <t>function_bid</t>
  </si>
  <si>
    <t>bid</t>
  </si>
  <si>
    <t>artificial</t>
  </si>
  <si>
    <t>convention</t>
  </si>
  <si>
    <t>remark</t>
  </si>
  <si>
    <t>Id</t>
  </si>
  <si>
    <t>id</t>
  </si>
  <si>
    <t>symbol_bid</t>
  </si>
  <si>
    <t>Entier qui doit être unique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</si>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</sst>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 (Corps)"/>
    </font>
    <font>
      <b/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scheme val="minor"/>
    </font>
    <font>
      <b/>
      <i/>
      <sz val="11"/>
      <color theme="5" tint="-0.249977111117893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5" fillId="0" borderId="0" xfId="0" applyFont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9B0E-BCB1-0548-9F4F-0A962A7A4ADD}">
  <dimension ref="A1:AD60"/>
  <sheetViews>
    <sheetView tabSelected="1" workbookViewId="0">
      <pane xSplit="5" ySplit="2" topLeftCell="M23" activePane="bottomRight" state="frozen"/>
      <selection pane="topRight" activeCell="E1" sqref="E1"/>
      <selection pane="bottomLeft" activeCell="A3" sqref="A3"/>
      <selection pane="bottomRight" activeCell="A64" sqref="A64"/>
    </sheetView>
  </sheetViews>
  <sheetFormatPr baseColWidth="10" defaultRowHeight="15" x14ac:dyDescent="0.2"/>
  <cols>
    <col min="1" max="1" width="10.83203125" style="20"/>
    <col min="2" max="2" width="15.83203125" style="1" customWidth="1"/>
    <col min="3" max="4" width="10.83203125" style="1"/>
    <col min="5" max="5" width="14.83203125" style="1" customWidth="1"/>
    <col min="6" max="6" width="16.5" style="1" customWidth="1"/>
    <col min="7" max="16" width="12.6640625" style="1" customWidth="1"/>
    <col min="17" max="17" width="10.83203125" style="1"/>
    <col min="18" max="18" width="12.1640625" style="1" customWidth="1"/>
    <col min="19" max="21" width="15.83203125" customWidth="1"/>
    <col min="22" max="22" width="15.83203125" style="1" customWidth="1"/>
    <col min="23" max="23" width="10.83203125" style="1"/>
    <col min="24" max="24" width="10" style="1" bestFit="1" customWidth="1"/>
    <col min="25" max="26" width="10.83203125" style="1"/>
    <col min="27" max="27" width="25.6640625" style="1" customWidth="1"/>
    <col min="28" max="28" width="36.6640625" customWidth="1"/>
    <col min="30" max="30" width="10.83203125" style="3"/>
  </cols>
  <sheetData>
    <row r="1" spans="1:30" s="4" customFormat="1" ht="32" x14ac:dyDescent="0.2">
      <c r="A1" s="19" t="s">
        <v>342</v>
      </c>
      <c r="B1" s="2" t="s">
        <v>13</v>
      </c>
      <c r="C1" s="2" t="s">
        <v>8</v>
      </c>
      <c r="D1" s="2" t="s">
        <v>9</v>
      </c>
      <c r="E1" s="2" t="s">
        <v>14</v>
      </c>
      <c r="F1" s="2" t="s">
        <v>2</v>
      </c>
      <c r="G1" s="2" t="s">
        <v>3</v>
      </c>
      <c r="H1" s="2" t="s">
        <v>144</v>
      </c>
      <c r="I1" s="2" t="s">
        <v>163</v>
      </c>
      <c r="J1" s="2" t="s">
        <v>166</v>
      </c>
      <c r="K1" s="2" t="s">
        <v>167</v>
      </c>
      <c r="L1" s="2" t="s">
        <v>168</v>
      </c>
      <c r="M1" s="2" t="s">
        <v>4</v>
      </c>
      <c r="N1" s="2" t="s">
        <v>5</v>
      </c>
      <c r="O1" s="2" t="s">
        <v>6</v>
      </c>
      <c r="P1" s="2" t="s">
        <v>186</v>
      </c>
      <c r="Q1" s="2" t="s">
        <v>10</v>
      </c>
      <c r="R1" s="2" t="s">
        <v>240</v>
      </c>
      <c r="S1" s="2" t="s">
        <v>238</v>
      </c>
      <c r="T1" s="2" t="s">
        <v>7</v>
      </c>
      <c r="U1" s="2" t="s">
        <v>239</v>
      </c>
      <c r="V1" s="2" t="s">
        <v>226</v>
      </c>
      <c r="W1" s="2" t="s">
        <v>0</v>
      </c>
      <c r="X1" s="2" t="s">
        <v>291</v>
      </c>
      <c r="Y1" s="3" t="s">
        <v>300</v>
      </c>
      <c r="Z1" s="3" t="s">
        <v>11</v>
      </c>
      <c r="AA1" s="3" t="s">
        <v>12</v>
      </c>
      <c r="AB1" s="14" t="s">
        <v>1</v>
      </c>
      <c r="AD1" s="2" t="s">
        <v>313</v>
      </c>
    </row>
    <row r="2" spans="1:30" s="4" customFormat="1" ht="16" x14ac:dyDescent="0.2">
      <c r="A2" s="19" t="s">
        <v>343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319</v>
      </c>
      <c r="H2" s="2" t="s">
        <v>320</v>
      </c>
      <c r="I2" s="2" t="s">
        <v>324</v>
      </c>
      <c r="J2" s="2" t="s">
        <v>325</v>
      </c>
      <c r="K2" s="2" t="s">
        <v>326</v>
      </c>
      <c r="L2" s="2" t="s">
        <v>327</v>
      </c>
      <c r="M2" s="2" t="s">
        <v>330</v>
      </c>
      <c r="N2" s="2" t="s">
        <v>328</v>
      </c>
      <c r="O2" s="2" t="s">
        <v>329</v>
      </c>
      <c r="P2" s="2" t="s">
        <v>331</v>
      </c>
      <c r="Q2" s="2" t="s">
        <v>332</v>
      </c>
      <c r="R2" s="2" t="s">
        <v>333</v>
      </c>
      <c r="S2" s="2" t="s">
        <v>334</v>
      </c>
      <c r="T2" s="2" t="s">
        <v>335</v>
      </c>
      <c r="U2" s="2" t="s">
        <v>336</v>
      </c>
      <c r="V2" s="2" t="s">
        <v>337</v>
      </c>
      <c r="W2" s="2" t="s">
        <v>338</v>
      </c>
      <c r="X2" s="2" t="s">
        <v>344</v>
      </c>
      <c r="Y2" s="3" t="s">
        <v>339</v>
      </c>
      <c r="Z2" s="3" t="s">
        <v>113</v>
      </c>
      <c r="AA2" s="3" t="s">
        <v>340</v>
      </c>
      <c r="AB2" s="14" t="s">
        <v>341</v>
      </c>
      <c r="AD2" s="2"/>
    </row>
    <row r="3" spans="1:30" s="6" customFormat="1" x14ac:dyDescent="0.2">
      <c r="A3" s="16">
        <v>1</v>
      </c>
      <c r="B3" s="5" t="s">
        <v>20</v>
      </c>
      <c r="C3" s="5" t="s">
        <v>16</v>
      </c>
      <c r="D3" s="5"/>
      <c r="E3" s="5"/>
      <c r="F3" s="5" t="s">
        <v>15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V3" s="5"/>
      <c r="W3" s="5" t="s">
        <v>17</v>
      </c>
      <c r="X3" s="5" t="s">
        <v>17</v>
      </c>
      <c r="Y3" s="5">
        <v>1</v>
      </c>
      <c r="Z3" s="5" t="s">
        <v>18</v>
      </c>
      <c r="AA3" s="5" t="s">
        <v>19</v>
      </c>
      <c r="AD3" s="3"/>
    </row>
    <row r="4" spans="1:30" s="6" customFormat="1" x14ac:dyDescent="0.2">
      <c r="A4" s="16">
        <v>2</v>
      </c>
      <c r="B4" s="5" t="s">
        <v>20</v>
      </c>
      <c r="C4" s="5" t="s">
        <v>16</v>
      </c>
      <c r="D4" s="5"/>
      <c r="E4" s="5"/>
      <c r="F4" s="5" t="s">
        <v>21</v>
      </c>
      <c r="G4" s="5" t="s">
        <v>157</v>
      </c>
      <c r="H4" s="5"/>
      <c r="I4" s="5" t="s">
        <v>22</v>
      </c>
      <c r="J4" s="5"/>
      <c r="K4" s="5"/>
      <c r="L4" s="5"/>
      <c r="M4" s="5">
        <v>9</v>
      </c>
      <c r="N4" s="5" t="s">
        <v>176</v>
      </c>
      <c r="O4" s="5"/>
      <c r="P4" s="5"/>
      <c r="Q4" s="5"/>
      <c r="R4" s="5"/>
      <c r="V4" s="5"/>
      <c r="W4" s="5" t="s">
        <v>17</v>
      </c>
      <c r="X4" s="5" t="s">
        <v>17</v>
      </c>
      <c r="Y4" s="5"/>
      <c r="Z4" s="5"/>
      <c r="AA4" s="5"/>
      <c r="AD4" s="3"/>
    </row>
    <row r="5" spans="1:30" s="6" customFormat="1" x14ac:dyDescent="0.2">
      <c r="A5" s="16">
        <v>3</v>
      </c>
      <c r="B5" s="5" t="s">
        <v>20</v>
      </c>
      <c r="C5" s="5" t="s">
        <v>16</v>
      </c>
      <c r="D5" s="5"/>
      <c r="E5" s="5"/>
      <c r="F5" s="5" t="s">
        <v>21</v>
      </c>
      <c r="G5" s="5" t="s">
        <v>157</v>
      </c>
      <c r="H5" s="5"/>
      <c r="I5" s="5" t="s">
        <v>23</v>
      </c>
      <c r="J5" s="5"/>
      <c r="K5" s="5"/>
      <c r="L5" s="5"/>
      <c r="M5" s="5">
        <v>10</v>
      </c>
      <c r="N5" s="5" t="s">
        <v>176</v>
      </c>
      <c r="O5" s="5"/>
      <c r="P5" s="5"/>
      <c r="Q5" s="5"/>
      <c r="R5" s="5"/>
      <c r="V5" s="5"/>
      <c r="W5" s="5" t="s">
        <v>17</v>
      </c>
      <c r="X5" s="5" t="s">
        <v>17</v>
      </c>
      <c r="Y5" s="5"/>
      <c r="Z5" s="5"/>
      <c r="AA5" s="5"/>
      <c r="AD5" s="3"/>
    </row>
    <row r="6" spans="1:30" s="6" customFormat="1" x14ac:dyDescent="0.2">
      <c r="A6" s="16">
        <v>4</v>
      </c>
      <c r="B6" s="5" t="s">
        <v>20</v>
      </c>
      <c r="C6" s="5" t="s">
        <v>16</v>
      </c>
      <c r="D6" s="5"/>
      <c r="E6" s="5"/>
      <c r="F6" s="5" t="s">
        <v>24</v>
      </c>
      <c r="G6" s="5" t="s">
        <v>157</v>
      </c>
      <c r="H6" s="5"/>
      <c r="I6" s="5" t="s">
        <v>22</v>
      </c>
      <c r="J6" s="5"/>
      <c r="K6" s="5"/>
      <c r="L6" s="5"/>
      <c r="M6" s="5">
        <v>8.5</v>
      </c>
      <c r="N6" s="5" t="s">
        <v>176</v>
      </c>
      <c r="O6" s="5"/>
      <c r="P6" s="5"/>
      <c r="Q6" s="5"/>
      <c r="R6" s="5"/>
      <c r="V6" s="5"/>
      <c r="W6" s="5" t="s">
        <v>25</v>
      </c>
      <c r="X6" s="5" t="s">
        <v>25</v>
      </c>
      <c r="Y6" s="5">
        <v>1</v>
      </c>
      <c r="Z6" s="5" t="s">
        <v>26</v>
      </c>
      <c r="AA6" s="7" t="s">
        <v>27</v>
      </c>
      <c r="AD6" s="3"/>
    </row>
    <row r="7" spans="1:30" s="6" customFormat="1" x14ac:dyDescent="0.2">
      <c r="A7" s="16">
        <v>5</v>
      </c>
      <c r="B7" s="5" t="s">
        <v>20</v>
      </c>
      <c r="C7" s="5" t="s">
        <v>16</v>
      </c>
      <c r="D7" s="5"/>
      <c r="E7" s="5"/>
      <c r="F7" s="5" t="s">
        <v>24</v>
      </c>
      <c r="G7" s="5" t="s">
        <v>157</v>
      </c>
      <c r="H7" s="5"/>
      <c r="I7" s="5" t="s">
        <v>23</v>
      </c>
      <c r="J7" s="5" t="s">
        <v>61</v>
      </c>
      <c r="K7" s="5"/>
      <c r="L7" s="5"/>
      <c r="M7" s="5">
        <v>9</v>
      </c>
      <c r="N7" s="5"/>
      <c r="O7" s="5"/>
      <c r="P7" s="5"/>
      <c r="Q7" s="5"/>
      <c r="R7" s="5"/>
      <c r="V7" s="5"/>
      <c r="W7" s="5" t="s">
        <v>25</v>
      </c>
      <c r="X7" s="5" t="s">
        <v>25</v>
      </c>
      <c r="Y7" s="5"/>
      <c r="Z7" s="5"/>
      <c r="AA7" s="5"/>
      <c r="AD7" s="3"/>
    </row>
    <row r="8" spans="1:30" s="6" customFormat="1" x14ac:dyDescent="0.2">
      <c r="A8" s="16">
        <v>6</v>
      </c>
      <c r="B8" s="5" t="s">
        <v>20</v>
      </c>
      <c r="C8" s="5" t="s">
        <v>16</v>
      </c>
      <c r="D8" s="5"/>
      <c r="E8" s="5"/>
      <c r="F8" s="5" t="s">
        <v>28</v>
      </c>
      <c r="G8" s="5"/>
      <c r="H8" s="5"/>
      <c r="I8" s="5" t="s">
        <v>22</v>
      </c>
      <c r="J8" s="5">
        <f>5</f>
        <v>5</v>
      </c>
      <c r="K8" s="5"/>
      <c r="L8" s="5"/>
      <c r="M8" s="5"/>
      <c r="N8" s="5"/>
      <c r="O8" s="5"/>
      <c r="P8" s="5"/>
      <c r="Q8" s="5"/>
      <c r="R8" s="5"/>
      <c r="V8" s="5"/>
      <c r="W8" s="5" t="s">
        <v>25</v>
      </c>
      <c r="X8" s="5" t="s">
        <v>25</v>
      </c>
      <c r="Y8" s="5"/>
      <c r="Z8" s="5"/>
      <c r="AA8" s="5"/>
      <c r="AD8" s="3"/>
    </row>
    <row r="9" spans="1:30" s="6" customFormat="1" x14ac:dyDescent="0.2">
      <c r="A9" s="16">
        <v>7</v>
      </c>
      <c r="B9" s="5" t="s">
        <v>20</v>
      </c>
      <c r="C9" s="5" t="s">
        <v>16</v>
      </c>
      <c r="D9" s="5"/>
      <c r="E9" s="5"/>
      <c r="F9" s="5" t="s">
        <v>29</v>
      </c>
      <c r="G9" s="5" t="s">
        <v>159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V9" s="5"/>
      <c r="W9" s="5" t="s">
        <v>25</v>
      </c>
      <c r="X9" s="5" t="s">
        <v>25</v>
      </c>
      <c r="Y9" s="5"/>
      <c r="Z9" s="5"/>
      <c r="AA9" s="5"/>
      <c r="AD9" s="3"/>
    </row>
    <row r="10" spans="1:30" s="6" customFormat="1" x14ac:dyDescent="0.2">
      <c r="A10" s="16">
        <v>8</v>
      </c>
      <c r="B10" s="5" t="s">
        <v>20</v>
      </c>
      <c r="C10" s="5" t="s">
        <v>16</v>
      </c>
      <c r="D10" s="5"/>
      <c r="E10" s="5"/>
      <c r="F10" s="5" t="s">
        <v>30</v>
      </c>
      <c r="G10" s="5" t="s">
        <v>159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V10" s="5"/>
      <c r="W10" s="5" t="s">
        <v>31</v>
      </c>
      <c r="X10" s="5" t="s">
        <v>31</v>
      </c>
      <c r="Y10" s="5"/>
      <c r="Z10" s="5"/>
      <c r="AA10" s="5" t="s">
        <v>32</v>
      </c>
      <c r="AD10" s="3"/>
    </row>
    <row r="11" spans="1:30" s="6" customFormat="1" x14ac:dyDescent="0.2">
      <c r="A11" s="16">
        <v>9</v>
      </c>
      <c r="B11" s="5" t="s">
        <v>20</v>
      </c>
      <c r="C11" s="5" t="s">
        <v>16</v>
      </c>
      <c r="D11" s="5"/>
      <c r="E11" s="5" t="s">
        <v>34</v>
      </c>
      <c r="F11" s="5" t="s">
        <v>33</v>
      </c>
      <c r="G11" s="5" t="s">
        <v>159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6" t="s">
        <v>188</v>
      </c>
      <c r="V11" s="5"/>
      <c r="W11" s="5" t="s">
        <v>34</v>
      </c>
      <c r="X11" s="5" t="s">
        <v>34</v>
      </c>
      <c r="Y11" s="5"/>
      <c r="Z11" s="5"/>
      <c r="AA11" s="5" t="s">
        <v>35</v>
      </c>
      <c r="AD11" s="3"/>
    </row>
    <row r="12" spans="1:30" s="6" customFormat="1" x14ac:dyDescent="0.2">
      <c r="A12" s="16">
        <v>10</v>
      </c>
      <c r="B12" s="5" t="s">
        <v>20</v>
      </c>
      <c r="C12" s="5" t="s">
        <v>16</v>
      </c>
      <c r="D12" s="5"/>
      <c r="E12" s="5" t="s">
        <v>34</v>
      </c>
      <c r="F12" s="5" t="s">
        <v>36</v>
      </c>
      <c r="G12" s="7">
        <v>5422</v>
      </c>
      <c r="H12" s="7"/>
      <c r="I12" s="5" t="s">
        <v>23</v>
      </c>
      <c r="J12" s="5"/>
      <c r="K12" s="5" t="s">
        <v>37</v>
      </c>
      <c r="L12" s="5"/>
      <c r="M12" s="5"/>
      <c r="N12" s="5"/>
      <c r="O12" s="5"/>
      <c r="P12" s="5"/>
      <c r="Q12" s="5"/>
      <c r="R12" s="5"/>
      <c r="V12" s="5"/>
      <c r="W12" s="5" t="s">
        <v>34</v>
      </c>
      <c r="X12" s="5" t="s">
        <v>34</v>
      </c>
      <c r="Y12" s="5"/>
      <c r="Z12" s="5"/>
      <c r="AA12" s="5"/>
      <c r="AD12" s="3"/>
    </row>
    <row r="13" spans="1:30" s="6" customFormat="1" x14ac:dyDescent="0.2">
      <c r="A13" s="16">
        <v>11</v>
      </c>
      <c r="B13" s="5" t="s">
        <v>20</v>
      </c>
      <c r="C13" s="5" t="s">
        <v>16</v>
      </c>
      <c r="D13" s="5"/>
      <c r="E13" s="5" t="s">
        <v>34</v>
      </c>
      <c r="F13" s="5" t="s">
        <v>36</v>
      </c>
      <c r="G13" s="5">
        <v>6322</v>
      </c>
      <c r="H13" s="5"/>
      <c r="I13" s="5" t="s">
        <v>23</v>
      </c>
      <c r="J13" s="5"/>
      <c r="K13" s="5"/>
      <c r="L13" s="5"/>
      <c r="M13" s="5"/>
      <c r="N13" s="5"/>
      <c r="O13" s="5"/>
      <c r="P13" s="5"/>
      <c r="Q13" s="5"/>
      <c r="R13" s="5"/>
      <c r="S13" s="6" t="s">
        <v>191</v>
      </c>
      <c r="V13" s="5"/>
      <c r="W13" s="5" t="s">
        <v>34</v>
      </c>
      <c r="X13" s="5" t="s">
        <v>34</v>
      </c>
      <c r="Y13" s="5"/>
      <c r="Z13" s="5"/>
      <c r="AA13" s="5"/>
      <c r="AD13" s="3"/>
    </row>
    <row r="14" spans="1:30" s="6" customFormat="1" x14ac:dyDescent="0.2">
      <c r="A14" s="16">
        <v>12</v>
      </c>
      <c r="B14" s="5" t="s">
        <v>20</v>
      </c>
      <c r="C14" s="5" t="s">
        <v>16</v>
      </c>
      <c r="D14" s="5"/>
      <c r="E14" s="5" t="s">
        <v>34</v>
      </c>
      <c r="F14" s="5" t="s">
        <v>36</v>
      </c>
      <c r="G14" s="5">
        <v>5332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6" t="s">
        <v>191</v>
      </c>
      <c r="V14" s="5"/>
      <c r="W14" s="5" t="s">
        <v>34</v>
      </c>
      <c r="X14" s="5" t="s">
        <v>34</v>
      </c>
      <c r="Y14" s="5"/>
      <c r="Z14" s="5"/>
      <c r="AA14" s="5"/>
      <c r="AD14" s="3"/>
    </row>
    <row r="15" spans="1:30" s="6" customFormat="1" x14ac:dyDescent="0.2">
      <c r="A15" s="16">
        <v>13</v>
      </c>
      <c r="B15" s="5" t="s">
        <v>20</v>
      </c>
      <c r="C15" s="5" t="s">
        <v>16</v>
      </c>
      <c r="D15" s="5"/>
      <c r="E15" s="5"/>
      <c r="F15" s="5" t="s">
        <v>38</v>
      </c>
      <c r="G15" s="5"/>
      <c r="H15" s="5"/>
      <c r="I15" s="5" t="s">
        <v>22</v>
      </c>
      <c r="J15" s="5" t="s">
        <v>84</v>
      </c>
      <c r="K15" s="5"/>
      <c r="L15" s="5"/>
      <c r="M15" s="5"/>
      <c r="N15" s="5"/>
      <c r="O15" s="5"/>
      <c r="P15" s="5"/>
      <c r="Q15" s="5"/>
      <c r="R15" s="5"/>
      <c r="V15" s="5" t="s">
        <v>39</v>
      </c>
      <c r="W15" s="5"/>
      <c r="X15" s="5" t="s">
        <v>46</v>
      </c>
      <c r="Y15" s="5"/>
      <c r="Z15" s="5"/>
      <c r="AA15" s="5" t="s">
        <v>40</v>
      </c>
      <c r="AD15" s="3"/>
    </row>
    <row r="16" spans="1:30" s="6" customFormat="1" x14ac:dyDescent="0.2">
      <c r="A16" s="16">
        <v>14</v>
      </c>
      <c r="B16" s="5" t="s">
        <v>20</v>
      </c>
      <c r="C16" s="5" t="s">
        <v>16</v>
      </c>
      <c r="D16" s="5"/>
      <c r="E16" s="5"/>
      <c r="F16" s="5" t="s">
        <v>38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V16" s="5" t="s">
        <v>41</v>
      </c>
      <c r="W16" s="5"/>
      <c r="X16" s="5" t="s">
        <v>42</v>
      </c>
      <c r="Y16" s="5"/>
      <c r="Z16" s="5"/>
      <c r="AA16" s="5" t="s">
        <v>43</v>
      </c>
      <c r="AD16" s="3"/>
    </row>
    <row r="17" spans="1:30" s="6" customFormat="1" x14ac:dyDescent="0.2">
      <c r="A17" s="16">
        <v>15</v>
      </c>
      <c r="B17" s="5" t="s">
        <v>20</v>
      </c>
      <c r="C17" s="5" t="s">
        <v>16</v>
      </c>
      <c r="D17" s="5" t="s">
        <v>45</v>
      </c>
      <c r="E17" s="5"/>
      <c r="F17" s="5" t="s">
        <v>44</v>
      </c>
      <c r="G17" s="5"/>
      <c r="H17" s="5"/>
      <c r="I17" s="5" t="s">
        <v>22</v>
      </c>
      <c r="J17" s="5" t="s">
        <v>84</v>
      </c>
      <c r="K17" s="5"/>
      <c r="L17" s="5"/>
      <c r="M17" s="5"/>
      <c r="N17" s="5"/>
      <c r="O17" s="5"/>
      <c r="P17" s="5"/>
      <c r="Q17" s="5"/>
      <c r="R17" s="5"/>
      <c r="S17" s="6" t="s">
        <v>192</v>
      </c>
      <c r="V17" s="5" t="s">
        <v>39</v>
      </c>
      <c r="W17" s="5"/>
      <c r="X17" s="5" t="s">
        <v>46</v>
      </c>
      <c r="Y17" s="5"/>
      <c r="Z17" s="5"/>
      <c r="AA17" s="5" t="s">
        <v>40</v>
      </c>
      <c r="AB17" s="6" t="s">
        <v>47</v>
      </c>
      <c r="AD17" s="3"/>
    </row>
    <row r="18" spans="1:30" s="6" customFormat="1" x14ac:dyDescent="0.2">
      <c r="A18" s="16">
        <v>16</v>
      </c>
      <c r="B18" s="5" t="s">
        <v>20</v>
      </c>
      <c r="C18" s="5" t="s">
        <v>16</v>
      </c>
      <c r="D18" s="5" t="s">
        <v>45</v>
      </c>
      <c r="E18" s="5"/>
      <c r="F18" s="5" t="s">
        <v>44</v>
      </c>
      <c r="G18" s="5" t="s">
        <v>158</v>
      </c>
      <c r="H18" s="5"/>
      <c r="I18" s="5" t="s">
        <v>23</v>
      </c>
      <c r="J18" s="5" t="s">
        <v>84</v>
      </c>
      <c r="K18" s="5"/>
      <c r="L18" s="5"/>
      <c r="M18" s="5"/>
      <c r="N18" s="5"/>
      <c r="O18" s="5"/>
      <c r="P18" s="5"/>
      <c r="Q18" s="5"/>
      <c r="R18" s="5"/>
      <c r="S18" s="6" t="s">
        <v>192</v>
      </c>
      <c r="V18" s="5" t="s">
        <v>39</v>
      </c>
      <c r="W18" s="5"/>
      <c r="X18" s="5" t="s">
        <v>42</v>
      </c>
      <c r="Y18" s="5"/>
      <c r="Z18" s="5"/>
      <c r="AA18" s="5" t="s">
        <v>43</v>
      </c>
      <c r="AB18" s="6" t="s">
        <v>47</v>
      </c>
      <c r="AD18" s="3"/>
    </row>
    <row r="19" spans="1:30" s="6" customFormat="1" x14ac:dyDescent="0.2">
      <c r="A19" s="16">
        <v>17</v>
      </c>
      <c r="B19" s="5" t="s">
        <v>20</v>
      </c>
      <c r="C19" s="5" t="s">
        <v>16</v>
      </c>
      <c r="D19" s="5" t="s">
        <v>50</v>
      </c>
      <c r="E19" s="5"/>
      <c r="F19" s="5" t="s">
        <v>48</v>
      </c>
      <c r="G19" s="5"/>
      <c r="H19" s="5"/>
      <c r="I19" s="5" t="s">
        <v>49</v>
      </c>
      <c r="J19" s="5" t="s">
        <v>174</v>
      </c>
      <c r="K19" s="5"/>
      <c r="L19" s="5"/>
      <c r="M19" s="5"/>
      <c r="N19" s="5"/>
      <c r="O19" s="5"/>
      <c r="P19" s="5"/>
      <c r="Q19" s="5"/>
      <c r="R19" s="5"/>
      <c r="S19" s="6" t="s">
        <v>198</v>
      </c>
      <c r="T19" s="6" t="s">
        <v>195</v>
      </c>
      <c r="U19" s="6" t="s">
        <v>195</v>
      </c>
      <c r="V19" s="5"/>
      <c r="W19" s="5" t="s">
        <v>51</v>
      </c>
      <c r="X19" s="5" t="s">
        <v>51</v>
      </c>
      <c r="Y19" s="5"/>
      <c r="Z19" s="5"/>
      <c r="AA19" s="5"/>
      <c r="AB19" s="6" t="s">
        <v>52</v>
      </c>
      <c r="AD19" s="3"/>
    </row>
    <row r="20" spans="1:30" s="6" customFormat="1" x14ac:dyDescent="0.2">
      <c r="A20" s="16">
        <v>18</v>
      </c>
      <c r="B20" s="5" t="s">
        <v>20</v>
      </c>
      <c r="C20" s="5" t="s">
        <v>16</v>
      </c>
      <c r="D20" s="5"/>
      <c r="E20" s="5"/>
      <c r="F20" s="5" t="s">
        <v>53</v>
      </c>
      <c r="G20" s="5" t="s">
        <v>157</v>
      </c>
      <c r="H20" s="5"/>
      <c r="I20" s="5" t="s">
        <v>22</v>
      </c>
      <c r="J20" s="5">
        <f>6</f>
        <v>6</v>
      </c>
      <c r="K20" s="5"/>
      <c r="L20" s="5"/>
      <c r="M20" s="5"/>
      <c r="N20" s="5" t="s">
        <v>54</v>
      </c>
      <c r="O20" s="5"/>
      <c r="P20" s="5"/>
      <c r="Q20" s="5"/>
      <c r="R20" s="5"/>
      <c r="S20" s="6" t="s">
        <v>192</v>
      </c>
      <c r="V20" s="5" t="s">
        <v>55</v>
      </c>
      <c r="W20" s="5"/>
      <c r="X20" s="5" t="s">
        <v>56</v>
      </c>
      <c r="Y20" s="5"/>
      <c r="Z20" s="5"/>
      <c r="AA20" s="5" t="s">
        <v>57</v>
      </c>
      <c r="AD20" s="3"/>
    </row>
    <row r="21" spans="1:30" s="6" customFormat="1" x14ac:dyDescent="0.2">
      <c r="A21" s="16">
        <v>19</v>
      </c>
      <c r="B21" s="5" t="s">
        <v>20</v>
      </c>
      <c r="C21" s="5" t="s">
        <v>16</v>
      </c>
      <c r="D21" s="5"/>
      <c r="E21" s="5"/>
      <c r="F21" s="5" t="s">
        <v>53</v>
      </c>
      <c r="G21" s="5" t="s">
        <v>157</v>
      </c>
      <c r="H21" s="5"/>
      <c r="I21" s="5"/>
      <c r="J21" s="5">
        <v>7</v>
      </c>
      <c r="K21" s="5"/>
      <c r="L21" s="5"/>
      <c r="M21" s="5"/>
      <c r="N21" s="5"/>
      <c r="O21" s="5"/>
      <c r="P21" s="5"/>
      <c r="Q21" s="5"/>
      <c r="R21" s="5"/>
      <c r="S21" s="6" t="s">
        <v>192</v>
      </c>
      <c r="V21" s="5" t="s">
        <v>58</v>
      </c>
      <c r="W21" s="5"/>
      <c r="X21" s="5" t="s">
        <v>293</v>
      </c>
      <c r="Y21" s="5"/>
      <c r="Z21" s="5"/>
      <c r="AA21" s="5" t="s">
        <v>57</v>
      </c>
      <c r="AD21" s="3"/>
    </row>
    <row r="22" spans="1:30" s="6" customFormat="1" x14ac:dyDescent="0.2">
      <c r="A22" s="16">
        <v>20</v>
      </c>
      <c r="B22" s="5" t="s">
        <v>20</v>
      </c>
      <c r="C22" s="5" t="s">
        <v>16</v>
      </c>
      <c r="D22" s="5"/>
      <c r="E22" s="5"/>
      <c r="F22" s="5" t="s">
        <v>53</v>
      </c>
      <c r="G22" s="5" t="s">
        <v>157</v>
      </c>
      <c r="H22" s="5"/>
      <c r="I22" s="5"/>
      <c r="J22" s="5">
        <v>8</v>
      </c>
      <c r="K22" s="5"/>
      <c r="L22" s="5"/>
      <c r="M22" s="5"/>
      <c r="N22" s="5"/>
      <c r="O22" s="5"/>
      <c r="P22" s="5"/>
      <c r="Q22" s="5"/>
      <c r="R22" s="5"/>
      <c r="S22" s="6" t="s">
        <v>192</v>
      </c>
      <c r="V22" s="5" t="s">
        <v>59</v>
      </c>
      <c r="W22" s="5"/>
      <c r="X22" s="5" t="s">
        <v>294</v>
      </c>
      <c r="Y22" s="5"/>
      <c r="Z22" s="5"/>
      <c r="AA22" s="5" t="s">
        <v>57</v>
      </c>
      <c r="AD22" s="3"/>
    </row>
    <row r="23" spans="1:30" s="6" customFormat="1" x14ac:dyDescent="0.2">
      <c r="A23" s="16">
        <v>21</v>
      </c>
      <c r="B23" s="5" t="s">
        <v>20</v>
      </c>
      <c r="C23" s="5" t="s">
        <v>16</v>
      </c>
      <c r="D23" s="5"/>
      <c r="E23" s="5"/>
      <c r="F23" s="5" t="s">
        <v>60</v>
      </c>
      <c r="G23" s="5" t="s">
        <v>157</v>
      </c>
      <c r="H23" s="5"/>
      <c r="I23" s="5" t="s">
        <v>23</v>
      </c>
      <c r="J23" s="5" t="s">
        <v>61</v>
      </c>
      <c r="K23" s="5"/>
      <c r="L23" s="5"/>
      <c r="M23" s="5"/>
      <c r="N23" s="5"/>
      <c r="O23" s="5"/>
      <c r="P23" s="5"/>
      <c r="Q23" s="5"/>
      <c r="R23" s="5"/>
      <c r="S23" t="s">
        <v>202</v>
      </c>
      <c r="V23" s="5"/>
      <c r="W23" s="5" t="s">
        <v>62</v>
      </c>
      <c r="X23" s="5" t="s">
        <v>62</v>
      </c>
      <c r="Y23" s="5"/>
      <c r="Z23" s="5"/>
      <c r="AA23" s="5" t="s">
        <v>63</v>
      </c>
      <c r="AD23" s="3"/>
    </row>
    <row r="24" spans="1:30" s="6" customFormat="1" x14ac:dyDescent="0.2">
      <c r="A24" s="16">
        <v>22</v>
      </c>
      <c r="B24" s="5" t="s">
        <v>20</v>
      </c>
      <c r="C24" s="5" t="s">
        <v>66</v>
      </c>
      <c r="D24" s="5"/>
      <c r="E24" s="5"/>
      <c r="F24" s="5" t="s">
        <v>64</v>
      </c>
      <c r="G24" s="5"/>
      <c r="H24" s="5"/>
      <c r="I24" s="5"/>
      <c r="J24" s="5"/>
      <c r="K24" s="5"/>
      <c r="L24" s="5"/>
      <c r="M24" s="5">
        <v>2</v>
      </c>
      <c r="N24" s="5"/>
      <c r="O24" s="5"/>
      <c r="P24" s="5" t="s">
        <v>65</v>
      </c>
      <c r="Q24" s="5"/>
      <c r="R24" s="5" t="s">
        <v>248</v>
      </c>
      <c r="V24" s="5"/>
      <c r="W24" s="5"/>
      <c r="X24" s="5" t="s">
        <v>56</v>
      </c>
      <c r="Y24" s="5"/>
      <c r="Z24" s="5"/>
      <c r="AA24" s="5"/>
      <c r="AD24" s="3"/>
    </row>
    <row r="25" spans="1:30" s="6" customFormat="1" x14ac:dyDescent="0.2">
      <c r="A25" s="16">
        <v>23</v>
      </c>
      <c r="B25" s="5" t="s">
        <v>20</v>
      </c>
      <c r="C25" s="5" t="s">
        <v>66</v>
      </c>
      <c r="D25" s="5"/>
      <c r="E25" s="5"/>
      <c r="F25" s="5" t="s">
        <v>67</v>
      </c>
      <c r="G25" s="5"/>
      <c r="H25" s="5"/>
      <c r="I25" s="5"/>
      <c r="J25" s="5"/>
      <c r="K25" s="5"/>
      <c r="L25" s="5"/>
      <c r="M25" s="5"/>
      <c r="N25" s="5"/>
      <c r="O25" s="5"/>
      <c r="P25" s="5">
        <v>3</v>
      </c>
      <c r="Q25" s="5"/>
      <c r="R25" s="5" t="s">
        <v>248</v>
      </c>
      <c r="V25" s="5"/>
      <c r="W25" s="5" t="s">
        <v>31</v>
      </c>
      <c r="X25" s="5" t="s">
        <v>31</v>
      </c>
      <c r="Y25" s="5"/>
      <c r="Z25" s="5"/>
      <c r="AA25" s="5" t="s">
        <v>68</v>
      </c>
      <c r="AD25" s="3"/>
    </row>
    <row r="26" spans="1:30" s="6" customFormat="1" x14ac:dyDescent="0.2">
      <c r="A26" s="16">
        <v>24</v>
      </c>
      <c r="B26" s="5" t="s">
        <v>20</v>
      </c>
      <c r="C26" s="5" t="s">
        <v>66</v>
      </c>
      <c r="D26" s="5"/>
      <c r="E26" s="5"/>
      <c r="F26" s="5" t="s">
        <v>67</v>
      </c>
      <c r="G26" s="5"/>
      <c r="H26" s="5"/>
      <c r="I26" s="5"/>
      <c r="J26" s="5"/>
      <c r="K26" s="5"/>
      <c r="L26" s="5"/>
      <c r="M26" s="5"/>
      <c r="N26" s="5"/>
      <c r="O26" s="5"/>
      <c r="P26" s="5">
        <v>4</v>
      </c>
      <c r="Q26" s="5"/>
      <c r="R26" s="5" t="s">
        <v>248</v>
      </c>
      <c r="V26" s="5"/>
      <c r="W26" s="5"/>
      <c r="X26" s="5" t="s">
        <v>69</v>
      </c>
      <c r="Y26" s="5"/>
      <c r="Z26" s="5"/>
      <c r="AA26" s="5"/>
      <c r="AD26" s="3"/>
    </row>
    <row r="27" spans="1:30" s="6" customFormat="1" x14ac:dyDescent="0.2">
      <c r="A27" s="16">
        <v>25</v>
      </c>
      <c r="B27" s="5" t="s">
        <v>72</v>
      </c>
      <c r="C27" s="5" t="s">
        <v>66</v>
      </c>
      <c r="D27" s="5"/>
      <c r="E27" s="5"/>
      <c r="F27" s="8" t="s">
        <v>70</v>
      </c>
      <c r="G27" s="5"/>
      <c r="H27" s="5"/>
      <c r="I27" s="5" t="s">
        <v>71</v>
      </c>
      <c r="J27" s="5" t="s">
        <v>84</v>
      </c>
      <c r="K27" s="5"/>
      <c r="L27" s="5"/>
      <c r="M27" s="5"/>
      <c r="N27" s="5"/>
      <c r="O27" s="5"/>
      <c r="P27" s="5" t="s">
        <v>65</v>
      </c>
      <c r="Q27" s="5"/>
      <c r="R27" s="5" t="s">
        <v>248</v>
      </c>
      <c r="S27" s="6" t="s">
        <v>192</v>
      </c>
      <c r="V27" s="5"/>
      <c r="W27" s="5" t="s">
        <v>17</v>
      </c>
      <c r="X27" s="5" t="s">
        <v>17</v>
      </c>
      <c r="Y27" s="5"/>
      <c r="Z27" s="5"/>
      <c r="AA27" s="5"/>
      <c r="AD27" s="3"/>
    </row>
    <row r="28" spans="1:30" s="6" customFormat="1" x14ac:dyDescent="0.2">
      <c r="A28" s="16">
        <v>26</v>
      </c>
      <c r="B28" s="5" t="s">
        <v>72</v>
      </c>
      <c r="C28" s="5" t="s">
        <v>66</v>
      </c>
      <c r="D28" s="5"/>
      <c r="E28" s="5"/>
      <c r="F28" s="8" t="s">
        <v>70</v>
      </c>
      <c r="G28" s="5"/>
      <c r="H28" s="5"/>
      <c r="I28" s="5"/>
      <c r="J28" s="5"/>
      <c r="K28" s="5"/>
      <c r="L28" s="5"/>
      <c r="M28" s="5"/>
      <c r="N28" s="5"/>
      <c r="O28" s="5"/>
      <c r="P28" s="5" t="s">
        <v>65</v>
      </c>
      <c r="Q28" s="5"/>
      <c r="R28" s="5" t="s">
        <v>248</v>
      </c>
      <c r="V28" s="5"/>
      <c r="W28" s="5" t="s">
        <v>25</v>
      </c>
      <c r="X28" s="5" t="s">
        <v>25</v>
      </c>
      <c r="Y28" s="5"/>
      <c r="Z28" s="5"/>
      <c r="AA28" s="5"/>
      <c r="AD28" s="3"/>
    </row>
    <row r="29" spans="1:30" s="6" customFormat="1" x14ac:dyDescent="0.2">
      <c r="A29" s="16">
        <v>27</v>
      </c>
      <c r="B29" s="5" t="s">
        <v>20</v>
      </c>
      <c r="C29" s="5" t="s">
        <v>66</v>
      </c>
      <c r="D29" s="5"/>
      <c r="E29" s="5"/>
      <c r="F29" s="5" t="s">
        <v>73</v>
      </c>
      <c r="G29" s="5"/>
      <c r="H29" s="5"/>
      <c r="I29" s="5"/>
      <c r="J29" s="5"/>
      <c r="K29" s="5"/>
      <c r="L29" s="5"/>
      <c r="M29" s="5"/>
      <c r="N29" s="5"/>
      <c r="O29" s="5"/>
      <c r="P29" s="5">
        <v>4</v>
      </c>
      <c r="Q29" s="5"/>
      <c r="R29" s="5" t="s">
        <v>248</v>
      </c>
      <c r="S29" s="6" t="s">
        <v>199</v>
      </c>
      <c r="V29" s="5"/>
      <c r="W29" s="5" t="s">
        <v>62</v>
      </c>
      <c r="X29" s="5" t="s">
        <v>62</v>
      </c>
      <c r="Y29" s="5"/>
      <c r="Z29" s="5"/>
      <c r="AA29" s="5" t="s">
        <v>74</v>
      </c>
      <c r="AD29" s="3"/>
    </row>
    <row r="30" spans="1:30" s="6" customFormat="1" x14ac:dyDescent="0.2">
      <c r="A30" s="16">
        <v>28</v>
      </c>
      <c r="B30" s="5" t="s">
        <v>20</v>
      </c>
      <c r="C30" s="5" t="s">
        <v>66</v>
      </c>
      <c r="D30" s="5"/>
      <c r="E30" s="5"/>
      <c r="F30" s="5" t="s">
        <v>75</v>
      </c>
      <c r="G30" s="5"/>
      <c r="H30" s="5"/>
      <c r="I30" s="5"/>
      <c r="J30" s="5"/>
      <c r="K30" s="5"/>
      <c r="L30" s="5"/>
      <c r="M30" s="5"/>
      <c r="N30" s="5"/>
      <c r="O30" s="5"/>
      <c r="P30" s="5">
        <v>5</v>
      </c>
      <c r="Q30" s="5"/>
      <c r="R30" s="5" t="s">
        <v>248</v>
      </c>
      <c r="S30" s="6" t="s">
        <v>192</v>
      </c>
      <c r="V30" s="5"/>
      <c r="W30" s="5"/>
      <c r="X30" s="5" t="s">
        <v>76</v>
      </c>
      <c r="Y30" s="5"/>
      <c r="Z30" s="5"/>
      <c r="AA30" s="5"/>
      <c r="AD30" s="3"/>
    </row>
    <row r="31" spans="1:30" s="6" customFormat="1" x14ac:dyDescent="0.2">
      <c r="A31" s="16">
        <v>29</v>
      </c>
      <c r="B31" s="5" t="s">
        <v>20</v>
      </c>
      <c r="C31" s="5" t="s">
        <v>66</v>
      </c>
      <c r="D31" s="5"/>
      <c r="E31" s="5"/>
      <c r="F31" s="5" t="s">
        <v>77</v>
      </c>
      <c r="G31" s="5"/>
      <c r="H31" s="5"/>
      <c r="I31" s="5"/>
      <c r="J31" s="5"/>
      <c r="K31" s="5"/>
      <c r="L31" s="5"/>
      <c r="M31" s="5"/>
      <c r="N31" s="5"/>
      <c r="O31" s="5"/>
      <c r="P31" s="5">
        <v>5</v>
      </c>
      <c r="Q31" s="5"/>
      <c r="R31" s="5" t="s">
        <v>248</v>
      </c>
      <c r="S31" t="s">
        <v>214</v>
      </c>
      <c r="V31" s="5"/>
      <c r="W31" s="5" t="s">
        <v>78</v>
      </c>
      <c r="X31" s="5" t="s">
        <v>78</v>
      </c>
      <c r="Y31" s="5"/>
      <c r="Z31" s="5"/>
      <c r="AA31" s="5" t="s">
        <v>79</v>
      </c>
      <c r="AD31" s="3"/>
    </row>
    <row r="32" spans="1:30" s="6" customFormat="1" x14ac:dyDescent="0.2">
      <c r="A32" s="16">
        <v>30</v>
      </c>
      <c r="B32" s="5" t="s">
        <v>20</v>
      </c>
      <c r="C32" s="5" t="s">
        <v>66</v>
      </c>
      <c r="D32" s="5"/>
      <c r="E32" s="5"/>
      <c r="F32" s="5" t="s">
        <v>77</v>
      </c>
      <c r="G32" s="5"/>
      <c r="H32" s="5"/>
      <c r="I32" s="5"/>
      <c r="J32" s="5"/>
      <c r="K32" s="5"/>
      <c r="L32" s="5"/>
      <c r="M32" s="5"/>
      <c r="N32" s="5"/>
      <c r="O32" s="5"/>
      <c r="P32" s="5">
        <v>5</v>
      </c>
      <c r="Q32" s="5"/>
      <c r="R32" s="5" t="s">
        <v>248</v>
      </c>
      <c r="S32" s="6" t="s">
        <v>215</v>
      </c>
      <c r="V32" s="5"/>
      <c r="W32" s="5" t="s">
        <v>80</v>
      </c>
      <c r="X32" s="5" t="s">
        <v>80</v>
      </c>
      <c r="Y32" s="5"/>
      <c r="Z32" s="5"/>
      <c r="AA32" s="5" t="s">
        <v>79</v>
      </c>
      <c r="AD32" s="3"/>
    </row>
    <row r="33" spans="1:30" s="6" customFormat="1" x14ac:dyDescent="0.2">
      <c r="A33" s="16">
        <v>31</v>
      </c>
      <c r="B33" s="5" t="s">
        <v>20</v>
      </c>
      <c r="C33" s="5" t="s">
        <v>66</v>
      </c>
      <c r="D33" s="5"/>
      <c r="E33" s="5"/>
      <c r="F33" s="5" t="s">
        <v>77</v>
      </c>
      <c r="G33" s="5"/>
      <c r="H33" s="5"/>
      <c r="I33" s="5"/>
      <c r="J33" s="5"/>
      <c r="K33" s="5"/>
      <c r="L33" s="5"/>
      <c r="M33" s="5"/>
      <c r="N33" s="5"/>
      <c r="O33" s="5"/>
      <c r="P33" s="5">
        <v>5</v>
      </c>
      <c r="Q33" s="5"/>
      <c r="R33" s="5" t="s">
        <v>249</v>
      </c>
      <c r="S33" t="s">
        <v>216</v>
      </c>
      <c r="V33" s="5"/>
      <c r="W33" s="5" t="s">
        <v>81</v>
      </c>
      <c r="X33" s="5" t="s">
        <v>81</v>
      </c>
      <c r="Y33" s="5"/>
      <c r="Z33" s="5"/>
      <c r="AA33" s="5" t="s">
        <v>79</v>
      </c>
      <c r="AD33" s="3"/>
    </row>
    <row r="34" spans="1:30" s="6" customFormat="1" x14ac:dyDescent="0.2">
      <c r="A34" s="16">
        <v>32</v>
      </c>
      <c r="B34" s="5" t="s">
        <v>20</v>
      </c>
      <c r="C34" s="5" t="s">
        <v>66</v>
      </c>
      <c r="D34" s="5"/>
      <c r="E34" s="5"/>
      <c r="F34" s="5" t="s">
        <v>77</v>
      </c>
      <c r="G34" s="5"/>
      <c r="H34" s="5"/>
      <c r="I34" s="5"/>
      <c r="J34" s="5"/>
      <c r="K34" s="5"/>
      <c r="L34" s="5"/>
      <c r="M34" s="5"/>
      <c r="N34" s="5"/>
      <c r="O34" s="5"/>
      <c r="P34" s="5">
        <v>5</v>
      </c>
      <c r="Q34" s="5"/>
      <c r="R34" s="5" t="s">
        <v>250</v>
      </c>
      <c r="S34" t="s">
        <v>217</v>
      </c>
      <c r="V34" s="5"/>
      <c r="W34" s="5" t="s">
        <v>82</v>
      </c>
      <c r="X34" s="5" t="s">
        <v>82</v>
      </c>
      <c r="Y34" s="5"/>
      <c r="Z34" s="5"/>
      <c r="AA34" s="5" t="s">
        <v>79</v>
      </c>
      <c r="AD34" s="3"/>
    </row>
    <row r="35" spans="1:30" s="6" customFormat="1" x14ac:dyDescent="0.2">
      <c r="A35" s="16">
        <v>33</v>
      </c>
      <c r="B35" s="5" t="s">
        <v>20</v>
      </c>
      <c r="C35" s="5" t="s">
        <v>66</v>
      </c>
      <c r="D35" s="5"/>
      <c r="E35" s="5"/>
      <c r="F35" s="8" t="s">
        <v>70</v>
      </c>
      <c r="G35" s="5"/>
      <c r="H35" s="5"/>
      <c r="I35" s="5" t="s">
        <v>83</v>
      </c>
      <c r="J35" s="5" t="s">
        <v>84</v>
      </c>
      <c r="K35" s="5"/>
      <c r="L35" s="5"/>
      <c r="M35" s="5"/>
      <c r="N35" s="5"/>
      <c r="O35" s="5"/>
      <c r="P35" s="5" t="s">
        <v>85</v>
      </c>
      <c r="Q35" s="5"/>
      <c r="R35" s="5" t="s">
        <v>249</v>
      </c>
      <c r="V35" s="5"/>
      <c r="W35" s="5" t="s">
        <v>86</v>
      </c>
      <c r="X35" s="5" t="s">
        <v>86</v>
      </c>
      <c r="Y35" s="5"/>
      <c r="Z35" s="5"/>
      <c r="AA35" s="5"/>
      <c r="AD35" s="3"/>
    </row>
    <row r="36" spans="1:30" s="6" customFormat="1" x14ac:dyDescent="0.2">
      <c r="A36" s="16">
        <v>34</v>
      </c>
      <c r="B36" s="5" t="s">
        <v>20</v>
      </c>
      <c r="C36" s="5" t="s">
        <v>66</v>
      </c>
      <c r="D36" s="5"/>
      <c r="E36" s="5"/>
      <c r="F36" s="8" t="s">
        <v>70</v>
      </c>
      <c r="G36" s="5"/>
      <c r="H36" s="5"/>
      <c r="I36" s="5" t="s">
        <v>23</v>
      </c>
      <c r="J36" s="5"/>
      <c r="K36" s="5"/>
      <c r="L36" s="5"/>
      <c r="M36" s="5"/>
      <c r="N36" s="5"/>
      <c r="O36" s="5"/>
      <c r="P36" s="5" t="s">
        <v>85</v>
      </c>
      <c r="Q36" s="5"/>
      <c r="R36" s="5" t="s">
        <v>248</v>
      </c>
      <c r="V36" s="5" t="s">
        <v>55</v>
      </c>
      <c r="W36" s="5"/>
      <c r="X36" s="5" t="s">
        <v>87</v>
      </c>
      <c r="Y36" s="5"/>
      <c r="Z36" s="5"/>
      <c r="AA36" s="5"/>
      <c r="AD36" s="3"/>
    </row>
    <row r="37" spans="1:30" s="6" customFormat="1" x14ac:dyDescent="0.2">
      <c r="A37" s="16">
        <v>35</v>
      </c>
      <c r="B37" s="5" t="s">
        <v>20</v>
      </c>
      <c r="C37" s="5" t="s">
        <v>66</v>
      </c>
      <c r="D37" s="5"/>
      <c r="E37" s="5"/>
      <c r="F37" s="5" t="s">
        <v>88</v>
      </c>
      <c r="G37" s="5"/>
      <c r="H37" s="5"/>
      <c r="I37" s="5"/>
      <c r="J37" s="5"/>
      <c r="K37" s="5"/>
      <c r="L37" s="5"/>
      <c r="M37" s="5"/>
      <c r="N37" s="5"/>
      <c r="O37" s="5"/>
      <c r="P37" s="5" t="s">
        <v>85</v>
      </c>
      <c r="Q37" s="5"/>
      <c r="R37" s="5" t="s">
        <v>250</v>
      </c>
      <c r="S37" s="6" t="s">
        <v>198</v>
      </c>
      <c r="V37" s="5"/>
      <c r="W37" s="5" t="s">
        <v>51</v>
      </c>
      <c r="X37" s="5" t="s">
        <v>51</v>
      </c>
      <c r="Y37" s="5"/>
      <c r="Z37" s="5"/>
      <c r="AA37" s="5"/>
      <c r="AD37" s="3"/>
    </row>
    <row r="38" spans="1:30" s="6" customFormat="1" x14ac:dyDescent="0.2">
      <c r="A38" s="16">
        <v>36</v>
      </c>
      <c r="B38" s="5" t="s">
        <v>72</v>
      </c>
      <c r="C38" s="5" t="s">
        <v>66</v>
      </c>
      <c r="D38" s="5"/>
      <c r="E38" s="5"/>
      <c r="F38" s="5" t="s">
        <v>89</v>
      </c>
      <c r="G38" s="5"/>
      <c r="H38" s="5"/>
      <c r="I38" s="5"/>
      <c r="J38" s="5"/>
      <c r="K38" s="5"/>
      <c r="L38" s="5"/>
      <c r="M38" s="5"/>
      <c r="N38" s="5"/>
      <c r="O38" s="5"/>
      <c r="P38" s="5" t="s">
        <v>85</v>
      </c>
      <c r="Q38" s="5"/>
      <c r="R38" s="5" t="s">
        <v>248</v>
      </c>
      <c r="V38" s="5"/>
      <c r="W38" s="5" t="s">
        <v>34</v>
      </c>
      <c r="X38" s="5" t="s">
        <v>34</v>
      </c>
      <c r="Y38" s="5"/>
      <c r="Z38" s="5"/>
      <c r="AA38" s="5"/>
      <c r="AD38" s="3"/>
    </row>
    <row r="39" spans="1:30" s="6" customFormat="1" ht="16" x14ac:dyDescent="0.2">
      <c r="A39" s="16">
        <v>37</v>
      </c>
      <c r="B39" s="5" t="s">
        <v>20</v>
      </c>
      <c r="C39" s="5" t="s">
        <v>92</v>
      </c>
      <c r="D39" s="5" t="s">
        <v>93</v>
      </c>
      <c r="E39" s="5"/>
      <c r="F39" s="5"/>
      <c r="G39" s="9" t="s">
        <v>160</v>
      </c>
      <c r="H39" s="9" t="s">
        <v>91</v>
      </c>
      <c r="I39" s="5"/>
      <c r="J39" s="5"/>
      <c r="K39" s="5"/>
      <c r="L39" s="5"/>
      <c r="M39" s="5"/>
      <c r="N39" s="5"/>
      <c r="O39" s="9" t="s">
        <v>181</v>
      </c>
      <c r="P39" s="5"/>
      <c r="Q39" s="5"/>
      <c r="R39" s="5" t="s">
        <v>251</v>
      </c>
      <c r="S39" t="s">
        <v>194</v>
      </c>
      <c r="T39" s="10"/>
      <c r="U39" s="10"/>
      <c r="V39" s="5"/>
      <c r="W39" s="5" t="s">
        <v>17</v>
      </c>
      <c r="X39" s="5" t="s">
        <v>17</v>
      </c>
      <c r="Y39" s="5">
        <v>1</v>
      </c>
      <c r="Z39" s="5"/>
      <c r="AA39" s="5" t="s">
        <v>94</v>
      </c>
      <c r="AB39" s="6" t="s">
        <v>95</v>
      </c>
      <c r="AD39" s="3"/>
    </row>
    <row r="40" spans="1:30" s="6" customFormat="1" ht="16" x14ac:dyDescent="0.2">
      <c r="A40" s="16">
        <v>38</v>
      </c>
      <c r="B40" s="5" t="s">
        <v>20</v>
      </c>
      <c r="C40" s="5" t="s">
        <v>92</v>
      </c>
      <c r="D40" s="5" t="s">
        <v>93</v>
      </c>
      <c r="E40" s="5"/>
      <c r="F40" s="5"/>
      <c r="G40" s="9" t="s">
        <v>160</v>
      </c>
      <c r="H40" s="9" t="s">
        <v>96</v>
      </c>
      <c r="I40" s="5"/>
      <c r="J40" s="5"/>
      <c r="K40" s="5"/>
      <c r="L40" s="5"/>
      <c r="M40" s="5"/>
      <c r="N40" s="5"/>
      <c r="O40" s="9" t="s">
        <v>181</v>
      </c>
      <c r="P40" s="5"/>
      <c r="Q40" s="5"/>
      <c r="R40" s="5" t="s">
        <v>252</v>
      </c>
      <c r="S40" t="s">
        <v>194</v>
      </c>
      <c r="T40" s="10"/>
      <c r="U40" s="10"/>
      <c r="V40" s="5"/>
      <c r="W40" s="5" t="s">
        <v>31</v>
      </c>
      <c r="X40" s="5" t="s">
        <v>31</v>
      </c>
      <c r="Y40" s="5">
        <v>1</v>
      </c>
      <c r="Z40" s="5"/>
      <c r="AA40" s="5" t="s">
        <v>94</v>
      </c>
      <c r="AB40" s="6" t="s">
        <v>95</v>
      </c>
      <c r="AD40" s="3"/>
    </row>
    <row r="41" spans="1:30" s="6" customFormat="1" ht="16" x14ac:dyDescent="0.2">
      <c r="A41" s="16">
        <v>39</v>
      </c>
      <c r="B41" s="5" t="s">
        <v>20</v>
      </c>
      <c r="C41" s="5" t="s">
        <v>92</v>
      </c>
      <c r="D41" s="5" t="s">
        <v>93</v>
      </c>
      <c r="E41" s="5"/>
      <c r="F41" s="5"/>
      <c r="G41" s="9" t="s">
        <v>160</v>
      </c>
      <c r="H41" s="9" t="s">
        <v>97</v>
      </c>
      <c r="I41" s="5"/>
      <c r="J41" s="5"/>
      <c r="K41" s="5"/>
      <c r="L41" s="5"/>
      <c r="M41" s="5"/>
      <c r="N41" s="5"/>
      <c r="O41" s="9" t="s">
        <v>181</v>
      </c>
      <c r="P41" s="5"/>
      <c r="Q41" s="5"/>
      <c r="R41" s="5" t="s">
        <v>253</v>
      </c>
      <c r="S41" t="s">
        <v>194</v>
      </c>
      <c r="T41" s="10"/>
      <c r="U41" s="10"/>
      <c r="V41" s="5"/>
      <c r="W41" s="5" t="s">
        <v>31</v>
      </c>
      <c r="X41" s="5" t="s">
        <v>31</v>
      </c>
      <c r="Y41" s="5">
        <v>1</v>
      </c>
      <c r="Z41" s="5"/>
      <c r="AA41" s="5" t="s">
        <v>94</v>
      </c>
      <c r="AB41" s="6" t="s">
        <v>95</v>
      </c>
      <c r="AD41" s="3"/>
    </row>
    <row r="42" spans="1:30" s="6" customFormat="1" ht="16" x14ac:dyDescent="0.2">
      <c r="A42" s="16">
        <v>40</v>
      </c>
      <c r="B42" s="5" t="s">
        <v>20</v>
      </c>
      <c r="C42" s="5" t="s">
        <v>92</v>
      </c>
      <c r="D42" s="5" t="s">
        <v>93</v>
      </c>
      <c r="E42" s="5"/>
      <c r="F42" s="5"/>
      <c r="G42" s="9" t="s">
        <v>160</v>
      </c>
      <c r="H42" s="9" t="s">
        <v>98</v>
      </c>
      <c r="I42" s="5"/>
      <c r="J42" s="5"/>
      <c r="K42" s="5"/>
      <c r="L42" s="5"/>
      <c r="M42" s="5"/>
      <c r="N42" s="5"/>
      <c r="O42" s="9" t="s">
        <v>181</v>
      </c>
      <c r="P42" s="5"/>
      <c r="Q42" s="5"/>
      <c r="R42" s="5" t="s">
        <v>248</v>
      </c>
      <c r="S42" t="s">
        <v>194</v>
      </c>
      <c r="T42" s="10"/>
      <c r="U42" s="10"/>
      <c r="V42" s="5"/>
      <c r="W42" s="5" t="s">
        <v>31</v>
      </c>
      <c r="X42" s="5" t="s">
        <v>31</v>
      </c>
      <c r="Y42" s="5">
        <v>1</v>
      </c>
      <c r="Z42" s="5"/>
      <c r="AA42" s="5" t="s">
        <v>94</v>
      </c>
      <c r="AB42" s="6" t="s">
        <v>95</v>
      </c>
      <c r="AD42" s="3"/>
    </row>
    <row r="43" spans="1:30" s="6" customFormat="1" ht="16" x14ac:dyDescent="0.2">
      <c r="A43" s="16">
        <v>41</v>
      </c>
      <c r="B43" s="5" t="s">
        <v>20</v>
      </c>
      <c r="C43" s="5" t="s">
        <v>92</v>
      </c>
      <c r="D43" s="5" t="s">
        <v>93</v>
      </c>
      <c r="E43" s="5"/>
      <c r="F43" s="5"/>
      <c r="G43" s="9" t="s">
        <v>160</v>
      </c>
      <c r="H43" s="9" t="s">
        <v>99</v>
      </c>
      <c r="I43" s="5"/>
      <c r="J43" s="5"/>
      <c r="K43" s="5"/>
      <c r="L43" s="5"/>
      <c r="M43" s="5"/>
      <c r="N43" s="5"/>
      <c r="O43" s="9" t="s">
        <v>181</v>
      </c>
      <c r="P43" s="5"/>
      <c r="Q43" s="5"/>
      <c r="R43" s="5" t="s">
        <v>250</v>
      </c>
      <c r="S43" t="s">
        <v>194</v>
      </c>
      <c r="T43" s="10"/>
      <c r="U43" s="10"/>
      <c r="V43" s="5"/>
      <c r="W43" s="5" t="s">
        <v>86</v>
      </c>
      <c r="X43" s="5" t="s">
        <v>86</v>
      </c>
      <c r="Y43" s="5">
        <v>1</v>
      </c>
      <c r="Z43" s="5"/>
      <c r="AA43" s="5" t="s">
        <v>94</v>
      </c>
      <c r="AB43" s="6" t="s">
        <v>95</v>
      </c>
      <c r="AD43" s="3"/>
    </row>
    <row r="44" spans="1:30" s="6" customFormat="1" ht="16" x14ac:dyDescent="0.2">
      <c r="A44" s="16">
        <v>42</v>
      </c>
      <c r="B44" s="5" t="s">
        <v>20</v>
      </c>
      <c r="C44" s="5" t="s">
        <v>92</v>
      </c>
      <c r="D44" s="5" t="s">
        <v>93</v>
      </c>
      <c r="E44" s="5"/>
      <c r="F44" s="5"/>
      <c r="G44" s="9" t="s">
        <v>160</v>
      </c>
      <c r="H44" s="9" t="s">
        <v>100</v>
      </c>
      <c r="I44" s="5"/>
      <c r="J44" s="5"/>
      <c r="K44" s="5"/>
      <c r="L44" s="5"/>
      <c r="M44" s="5"/>
      <c r="N44" s="5"/>
      <c r="O44" s="9" t="s">
        <v>181</v>
      </c>
      <c r="P44" s="5"/>
      <c r="Q44" s="5"/>
      <c r="R44" s="5" t="s">
        <v>249</v>
      </c>
      <c r="S44" t="s">
        <v>194</v>
      </c>
      <c r="T44" s="10"/>
      <c r="U44" s="10"/>
      <c r="V44" s="5"/>
      <c r="W44" s="5" t="s">
        <v>101</v>
      </c>
      <c r="X44" s="5" t="s">
        <v>101</v>
      </c>
      <c r="Y44" s="5">
        <v>1</v>
      </c>
      <c r="Z44" s="5"/>
      <c r="AA44" s="5" t="s">
        <v>94</v>
      </c>
      <c r="AB44" s="6" t="s">
        <v>95</v>
      </c>
      <c r="AD44" s="3"/>
    </row>
    <row r="45" spans="1:30" s="6" customFormat="1" ht="16" x14ac:dyDescent="0.2">
      <c r="A45" s="16">
        <v>43</v>
      </c>
      <c r="B45" s="5" t="s">
        <v>20</v>
      </c>
      <c r="C45" s="5" t="s">
        <v>92</v>
      </c>
      <c r="D45" s="5" t="s">
        <v>93</v>
      </c>
      <c r="E45" s="5"/>
      <c r="F45" s="5"/>
      <c r="G45" s="9" t="s">
        <v>160</v>
      </c>
      <c r="H45" s="9" t="s">
        <v>102</v>
      </c>
      <c r="I45" s="5"/>
      <c r="J45" s="5"/>
      <c r="K45" s="5"/>
      <c r="L45" s="5"/>
      <c r="M45" s="5"/>
      <c r="N45" s="5"/>
      <c r="O45" s="9" t="s">
        <v>181</v>
      </c>
      <c r="P45" s="5"/>
      <c r="Q45" s="5"/>
      <c r="R45" s="5" t="s">
        <v>250</v>
      </c>
      <c r="S45" t="s">
        <v>194</v>
      </c>
      <c r="T45" s="10"/>
      <c r="U45" s="10"/>
      <c r="V45" s="5"/>
      <c r="W45" s="5" t="s">
        <v>103</v>
      </c>
      <c r="X45" s="5" t="s">
        <v>103</v>
      </c>
      <c r="Y45" s="5">
        <v>1</v>
      </c>
      <c r="Z45" s="5"/>
      <c r="AA45" s="5" t="s">
        <v>94</v>
      </c>
      <c r="AB45" s="6" t="s">
        <v>95</v>
      </c>
      <c r="AD45" s="3"/>
    </row>
    <row r="46" spans="1:30" s="6" customFormat="1" ht="16" x14ac:dyDescent="0.2">
      <c r="A46" s="16">
        <v>44</v>
      </c>
      <c r="B46" s="5" t="s">
        <v>20</v>
      </c>
      <c r="C46" s="5" t="s">
        <v>92</v>
      </c>
      <c r="D46" s="5" t="s">
        <v>93</v>
      </c>
      <c r="E46" s="5"/>
      <c r="F46" s="5"/>
      <c r="G46" s="9" t="s">
        <v>160</v>
      </c>
      <c r="H46" s="9" t="s">
        <v>104</v>
      </c>
      <c r="I46" s="5"/>
      <c r="J46" s="5"/>
      <c r="K46" s="5"/>
      <c r="L46" s="5"/>
      <c r="M46" s="5"/>
      <c r="N46" s="5"/>
      <c r="O46" s="9" t="s">
        <v>181</v>
      </c>
      <c r="P46" s="5"/>
      <c r="Q46" s="5"/>
      <c r="R46" s="5" t="s">
        <v>249</v>
      </c>
      <c r="S46" t="s">
        <v>194</v>
      </c>
      <c r="T46" s="10"/>
      <c r="U46" s="10"/>
      <c r="V46" s="5"/>
      <c r="W46" s="5" t="s">
        <v>103</v>
      </c>
      <c r="X46" s="5" t="s">
        <v>103</v>
      </c>
      <c r="Y46" s="5">
        <v>1</v>
      </c>
      <c r="Z46" s="5"/>
      <c r="AA46" s="5" t="s">
        <v>94</v>
      </c>
      <c r="AB46" s="6" t="s">
        <v>95</v>
      </c>
      <c r="AD46" s="3"/>
    </row>
    <row r="47" spans="1:30" s="6" customFormat="1" x14ac:dyDescent="0.2">
      <c r="A47" s="16">
        <v>45</v>
      </c>
      <c r="B47" s="5" t="s">
        <v>20</v>
      </c>
      <c r="C47" s="5" t="s">
        <v>92</v>
      </c>
      <c r="D47" s="5" t="s">
        <v>93</v>
      </c>
      <c r="E47" s="5"/>
      <c r="F47" s="5" t="s">
        <v>105</v>
      </c>
      <c r="G47" s="5"/>
      <c r="H47" s="5"/>
      <c r="I47" s="5"/>
      <c r="J47" s="5" t="s">
        <v>84</v>
      </c>
      <c r="K47" s="5"/>
      <c r="L47" s="5"/>
      <c r="M47" s="5"/>
      <c r="N47" s="5"/>
      <c r="O47" s="5"/>
      <c r="P47" s="5"/>
      <c r="Q47" s="5"/>
      <c r="R47" s="5"/>
      <c r="V47" s="5" t="s">
        <v>39</v>
      </c>
      <c r="W47" s="5"/>
      <c r="X47" s="5" t="s">
        <v>295</v>
      </c>
      <c r="Y47" s="5"/>
      <c r="Z47" s="5"/>
      <c r="AA47" s="5"/>
      <c r="AB47" s="6" t="s">
        <v>95</v>
      </c>
      <c r="AD47" s="3"/>
    </row>
    <row r="48" spans="1:30" s="6" customFormat="1" x14ac:dyDescent="0.2">
      <c r="A48" s="16">
        <v>46</v>
      </c>
      <c r="B48" s="5" t="s">
        <v>20</v>
      </c>
      <c r="C48" s="5" t="s">
        <v>92</v>
      </c>
      <c r="D48" s="5" t="s">
        <v>93</v>
      </c>
      <c r="E48" s="5"/>
      <c r="F48" s="5" t="s">
        <v>106</v>
      </c>
      <c r="G48" s="5"/>
      <c r="H48" s="5"/>
      <c r="I48" s="5"/>
      <c r="J48" s="5" t="s">
        <v>107</v>
      </c>
      <c r="K48" s="5"/>
      <c r="L48" s="5"/>
      <c r="M48" s="5"/>
      <c r="N48" s="5"/>
      <c r="O48" s="5"/>
      <c r="P48" s="5"/>
      <c r="Q48" s="5"/>
      <c r="R48" s="5" t="s">
        <v>257</v>
      </c>
      <c r="T48" s="5" t="s">
        <v>108</v>
      </c>
      <c r="U48" s="5" t="s">
        <v>109</v>
      </c>
      <c r="V48" s="5" t="s">
        <v>55</v>
      </c>
      <c r="W48" s="5"/>
      <c r="X48" s="5" t="s">
        <v>296</v>
      </c>
      <c r="Y48" s="5"/>
      <c r="Z48" s="5"/>
      <c r="AA48" s="5"/>
      <c r="AB48" s="6" t="s">
        <v>95</v>
      </c>
      <c r="AD48" s="3"/>
    </row>
    <row r="49" spans="1:30" s="6" customFormat="1" x14ac:dyDescent="0.2">
      <c r="A49" s="16">
        <v>47</v>
      </c>
      <c r="B49" s="5" t="s">
        <v>20</v>
      </c>
      <c r="C49" s="5" t="s">
        <v>92</v>
      </c>
      <c r="D49" s="5" t="s">
        <v>93</v>
      </c>
      <c r="E49" s="5"/>
      <c r="F49" s="5" t="s">
        <v>106</v>
      </c>
      <c r="G49" s="5"/>
      <c r="H49" s="5"/>
      <c r="I49" s="5" t="s">
        <v>110</v>
      </c>
      <c r="J49" s="5" t="s">
        <v>107</v>
      </c>
      <c r="K49" s="5"/>
      <c r="L49" s="5"/>
      <c r="M49" s="5"/>
      <c r="N49" s="5"/>
      <c r="O49" s="5"/>
      <c r="P49" s="5"/>
      <c r="Q49" s="5"/>
      <c r="R49" s="5" t="s">
        <v>252</v>
      </c>
      <c r="V49" s="5"/>
      <c r="W49" s="5" t="s">
        <v>25</v>
      </c>
      <c r="X49" s="5" t="s">
        <v>25</v>
      </c>
      <c r="Y49" s="5"/>
      <c r="Z49" s="5"/>
      <c r="AA49" s="5"/>
      <c r="AB49" s="6" t="s">
        <v>95</v>
      </c>
      <c r="AD49" s="3"/>
    </row>
    <row r="50" spans="1:30" s="6" customFormat="1" x14ac:dyDescent="0.2">
      <c r="A50" s="16">
        <v>48</v>
      </c>
      <c r="B50" s="5" t="s">
        <v>20</v>
      </c>
      <c r="C50" s="5" t="s">
        <v>92</v>
      </c>
      <c r="D50" s="5" t="s">
        <v>93</v>
      </c>
      <c r="E50" s="5"/>
      <c r="F50" s="5" t="s">
        <v>111</v>
      </c>
      <c r="G50" s="5"/>
      <c r="H50" s="5"/>
      <c r="I50" s="5" t="s">
        <v>83</v>
      </c>
      <c r="J50" s="5" t="s">
        <v>84</v>
      </c>
      <c r="K50" s="5"/>
      <c r="L50" s="5"/>
      <c r="M50" s="5"/>
      <c r="N50" s="5"/>
      <c r="O50" s="9"/>
      <c r="P50" s="5"/>
      <c r="Q50" s="5"/>
      <c r="R50" s="5" t="s">
        <v>249</v>
      </c>
      <c r="S50" s="6" t="s">
        <v>192</v>
      </c>
      <c r="V50" s="5"/>
      <c r="W50" s="5" t="s">
        <v>86</v>
      </c>
      <c r="X50" s="5" t="s">
        <v>86</v>
      </c>
      <c r="Y50" s="5"/>
      <c r="Z50" s="5"/>
      <c r="AA50" s="5"/>
      <c r="AB50" s="6" t="s">
        <v>95</v>
      </c>
      <c r="AD50" s="3"/>
    </row>
    <row r="51" spans="1:30" s="6" customFormat="1" x14ac:dyDescent="0.2">
      <c r="A51" s="16">
        <v>49</v>
      </c>
      <c r="B51" s="5" t="s">
        <v>20</v>
      </c>
      <c r="C51" s="5" t="s">
        <v>66</v>
      </c>
      <c r="D51" s="5"/>
      <c r="E51" s="5" t="s">
        <v>34</v>
      </c>
      <c r="F51" s="5" t="s">
        <v>112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 t="s">
        <v>254</v>
      </c>
      <c r="S51" s="6" t="s">
        <v>208</v>
      </c>
      <c r="V51" s="5"/>
      <c r="W51" s="5" t="s">
        <v>25</v>
      </c>
      <c r="X51" s="5" t="s">
        <v>25</v>
      </c>
      <c r="Y51" s="5">
        <v>1</v>
      </c>
      <c r="Z51" s="5" t="s">
        <v>113</v>
      </c>
      <c r="AA51" s="5" t="s">
        <v>114</v>
      </c>
      <c r="AD51" s="3"/>
    </row>
    <row r="52" spans="1:30" s="6" customFormat="1" x14ac:dyDescent="0.2">
      <c r="A52" s="16">
        <v>50</v>
      </c>
      <c r="B52" s="5" t="s">
        <v>20</v>
      </c>
      <c r="C52" s="5" t="s">
        <v>115</v>
      </c>
      <c r="D52" s="5"/>
      <c r="E52" s="5" t="s">
        <v>34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 t="s">
        <v>255</v>
      </c>
      <c r="S52" t="s">
        <v>219</v>
      </c>
      <c r="V52" s="5"/>
      <c r="W52" s="5" t="s">
        <v>17</v>
      </c>
      <c r="X52" s="5" t="s">
        <v>17</v>
      </c>
      <c r="Y52" s="5">
        <v>1</v>
      </c>
      <c r="Z52" s="5" t="s">
        <v>113</v>
      </c>
      <c r="AA52" s="5" t="s">
        <v>116</v>
      </c>
      <c r="AD52" s="3"/>
    </row>
    <row r="53" spans="1:30" x14ac:dyDescent="0.2">
      <c r="A53" s="16">
        <v>51</v>
      </c>
      <c r="B53" s="1" t="s">
        <v>20</v>
      </c>
      <c r="C53" s="1" t="s">
        <v>115</v>
      </c>
      <c r="E53" s="1" t="s">
        <v>34</v>
      </c>
      <c r="R53" s="5" t="s">
        <v>255</v>
      </c>
      <c r="S53" t="s">
        <v>220</v>
      </c>
      <c r="T53" s="6"/>
      <c r="U53" s="6"/>
      <c r="V53" s="1" t="s">
        <v>117</v>
      </c>
      <c r="X53" s="1" t="s">
        <v>56</v>
      </c>
      <c r="AA53" s="5" t="s">
        <v>116</v>
      </c>
    </row>
    <row r="54" spans="1:30" x14ac:dyDescent="0.2">
      <c r="A54" s="16">
        <v>52</v>
      </c>
      <c r="B54" s="1" t="s">
        <v>20</v>
      </c>
      <c r="C54" s="1" t="s">
        <v>115</v>
      </c>
      <c r="E54" s="1" t="s">
        <v>34</v>
      </c>
      <c r="R54" s="5" t="s">
        <v>255</v>
      </c>
      <c r="S54" t="s">
        <v>221</v>
      </c>
      <c r="T54" s="6"/>
      <c r="U54" s="6"/>
      <c r="W54" s="1" t="s">
        <v>31</v>
      </c>
      <c r="X54" s="1" t="s">
        <v>31</v>
      </c>
      <c r="Y54" s="1">
        <v>1</v>
      </c>
      <c r="AA54" s="5" t="s">
        <v>116</v>
      </c>
    </row>
    <row r="55" spans="1:30" x14ac:dyDescent="0.2">
      <c r="A55" s="16">
        <v>53</v>
      </c>
      <c r="B55" s="1" t="s">
        <v>20</v>
      </c>
      <c r="C55" s="1" t="s">
        <v>115</v>
      </c>
      <c r="E55" s="1" t="s">
        <v>34</v>
      </c>
      <c r="F55" s="1" t="s">
        <v>118</v>
      </c>
      <c r="G55" s="5" t="s">
        <v>159</v>
      </c>
      <c r="R55" s="5" t="s">
        <v>256</v>
      </c>
      <c r="W55" s="1" t="s">
        <v>31</v>
      </c>
      <c r="X55" s="1" t="s">
        <v>31</v>
      </c>
      <c r="AA55" s="5" t="s">
        <v>119</v>
      </c>
    </row>
    <row r="56" spans="1:30" x14ac:dyDescent="0.2">
      <c r="A56" s="16">
        <v>54</v>
      </c>
      <c r="B56" s="1" t="s">
        <v>20</v>
      </c>
      <c r="C56" s="1" t="s">
        <v>115</v>
      </c>
      <c r="E56" s="1" t="s">
        <v>34</v>
      </c>
      <c r="F56" s="1" t="s">
        <v>120</v>
      </c>
      <c r="G56" s="5" t="s">
        <v>159</v>
      </c>
      <c r="R56" s="5" t="s">
        <v>256</v>
      </c>
      <c r="W56" s="1" t="s">
        <v>62</v>
      </c>
      <c r="X56" s="1" t="s">
        <v>62</v>
      </c>
      <c r="AA56" s="5"/>
    </row>
    <row r="57" spans="1:30" x14ac:dyDescent="0.2">
      <c r="A57" s="16">
        <v>55</v>
      </c>
      <c r="B57" s="1" t="s">
        <v>20</v>
      </c>
      <c r="C57" s="1" t="s">
        <v>115</v>
      </c>
      <c r="E57" s="1" t="s">
        <v>34</v>
      </c>
      <c r="F57" s="1" t="s">
        <v>121</v>
      </c>
      <c r="G57" s="5" t="s">
        <v>159</v>
      </c>
      <c r="R57" s="5" t="s">
        <v>256</v>
      </c>
      <c r="W57" s="1" t="s">
        <v>122</v>
      </c>
      <c r="X57" s="1" t="s">
        <v>122</v>
      </c>
      <c r="AA57" s="5" t="s">
        <v>123</v>
      </c>
    </row>
    <row r="58" spans="1:30" x14ac:dyDescent="0.2">
      <c r="A58" s="16">
        <v>56</v>
      </c>
      <c r="B58" s="1" t="s">
        <v>20</v>
      </c>
      <c r="C58" s="1" t="s">
        <v>115</v>
      </c>
      <c r="E58" s="1" t="s">
        <v>34</v>
      </c>
      <c r="F58" s="1" t="s">
        <v>124</v>
      </c>
      <c r="G58" s="5" t="s">
        <v>159</v>
      </c>
      <c r="R58" s="5" t="s">
        <v>256</v>
      </c>
      <c r="W58" s="1" t="s">
        <v>125</v>
      </c>
      <c r="X58" s="1" t="s">
        <v>125</v>
      </c>
      <c r="AA58" s="5"/>
    </row>
    <row r="59" spans="1:30" x14ac:dyDescent="0.2">
      <c r="A59" s="16">
        <v>57</v>
      </c>
      <c r="B59" s="1" t="s">
        <v>20</v>
      </c>
      <c r="C59" s="1" t="s">
        <v>115</v>
      </c>
      <c r="E59" s="1" t="s">
        <v>34</v>
      </c>
      <c r="F59" s="1" t="s">
        <v>126</v>
      </c>
      <c r="G59" s="5" t="s">
        <v>159</v>
      </c>
      <c r="R59" s="5" t="s">
        <v>256</v>
      </c>
      <c r="W59" s="1" t="s">
        <v>127</v>
      </c>
      <c r="X59" s="1" t="s">
        <v>127</v>
      </c>
      <c r="AA59" s="5" t="s">
        <v>128</v>
      </c>
    </row>
    <row r="60" spans="1:30" x14ac:dyDescent="0.2">
      <c r="A60" s="16">
        <v>58</v>
      </c>
      <c r="B60" s="1" t="s">
        <v>20</v>
      </c>
      <c r="C60" s="1" t="s">
        <v>115</v>
      </c>
      <c r="E60" s="1" t="s">
        <v>34</v>
      </c>
      <c r="F60" s="1" t="s">
        <v>129</v>
      </c>
      <c r="G60" s="5" t="s">
        <v>159</v>
      </c>
      <c r="R60" s="5" t="s">
        <v>256</v>
      </c>
      <c r="W60" s="1" t="s">
        <v>130</v>
      </c>
      <c r="X60" s="1" t="s">
        <v>130</v>
      </c>
      <c r="AA60" s="5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FB35-3677-F949-967F-13A8866479DD}">
  <dimension ref="A1:F98"/>
  <sheetViews>
    <sheetView workbookViewId="0">
      <pane ySplit="1" topLeftCell="A2" activePane="bottomLeft" state="frozen"/>
      <selection pane="bottomLeft" activeCell="C21" sqref="C21"/>
    </sheetView>
  </sheetViews>
  <sheetFormatPr baseColWidth="10" defaultRowHeight="15" x14ac:dyDescent="0.2"/>
  <cols>
    <col min="1" max="1" width="30.33203125" customWidth="1"/>
    <col min="2" max="2" width="23.6640625" customWidth="1"/>
    <col min="3" max="3" width="51.83203125" customWidth="1"/>
    <col min="4" max="4" width="31" bestFit="1" customWidth="1"/>
    <col min="6" max="6" width="38.6640625" customWidth="1"/>
  </cols>
  <sheetData>
    <row r="1" spans="1:6" s="11" customFormat="1" x14ac:dyDescent="0.2">
      <c r="A1" s="11" t="s">
        <v>131</v>
      </c>
      <c r="B1" s="11" t="s">
        <v>132</v>
      </c>
      <c r="C1" s="11" t="s">
        <v>133</v>
      </c>
      <c r="D1" s="11" t="s">
        <v>134</v>
      </c>
      <c r="E1" s="11" t="s">
        <v>142</v>
      </c>
      <c r="F1" s="11" t="s">
        <v>154</v>
      </c>
    </row>
    <row r="2" spans="1:6" s="15" customFormat="1" x14ac:dyDescent="0.2">
      <c r="A2" s="15" t="s">
        <v>342</v>
      </c>
      <c r="C2" s="15" t="s">
        <v>345</v>
      </c>
      <c r="D2" s="15" t="s">
        <v>346</v>
      </c>
    </row>
    <row r="3" spans="1:6" s="15" customFormat="1" x14ac:dyDescent="0.2">
      <c r="A3" s="15" t="s">
        <v>13</v>
      </c>
      <c r="B3" s="15" t="s">
        <v>279</v>
      </c>
      <c r="C3" s="15" t="s">
        <v>289</v>
      </c>
      <c r="D3" s="15" t="s">
        <v>187</v>
      </c>
      <c r="E3" s="15" t="s">
        <v>290</v>
      </c>
    </row>
    <row r="4" spans="1:6" x14ac:dyDescent="0.2">
      <c r="A4" t="s">
        <v>8</v>
      </c>
      <c r="B4" t="s">
        <v>279</v>
      </c>
      <c r="C4" t="s">
        <v>282</v>
      </c>
    </row>
    <row r="5" spans="1:6" x14ac:dyDescent="0.2">
      <c r="A5" t="s">
        <v>9</v>
      </c>
      <c r="B5" t="s">
        <v>279</v>
      </c>
      <c r="C5" t="s">
        <v>283</v>
      </c>
      <c r="D5" t="s">
        <v>234</v>
      </c>
    </row>
    <row r="6" spans="1:6" x14ac:dyDescent="0.2">
      <c r="A6" t="s">
        <v>14</v>
      </c>
      <c r="B6" t="s">
        <v>288</v>
      </c>
      <c r="C6" t="s">
        <v>308</v>
      </c>
      <c r="D6" t="s">
        <v>187</v>
      </c>
      <c r="E6" t="s">
        <v>143</v>
      </c>
    </row>
    <row r="7" spans="1:6" x14ac:dyDescent="0.2">
      <c r="A7" t="s">
        <v>2</v>
      </c>
      <c r="B7" t="s">
        <v>280</v>
      </c>
      <c r="C7" t="s">
        <v>135</v>
      </c>
      <c r="D7" t="s">
        <v>136</v>
      </c>
    </row>
    <row r="8" spans="1:6" x14ac:dyDescent="0.2">
      <c r="A8" t="s">
        <v>3</v>
      </c>
      <c r="B8" t="s">
        <v>280</v>
      </c>
      <c r="C8" t="s">
        <v>141</v>
      </c>
      <c r="D8" t="s">
        <v>153</v>
      </c>
      <c r="E8" t="s">
        <v>143</v>
      </c>
    </row>
    <row r="9" spans="1:6" x14ac:dyDescent="0.2">
      <c r="A9" t="s">
        <v>144</v>
      </c>
      <c r="B9" t="s">
        <v>280</v>
      </c>
      <c r="C9" t="s">
        <v>145</v>
      </c>
      <c r="D9" t="s">
        <v>152</v>
      </c>
      <c r="E9" t="s">
        <v>143</v>
      </c>
      <c r="F9" t="s">
        <v>155</v>
      </c>
    </row>
    <row r="10" spans="1:6" x14ac:dyDescent="0.2">
      <c r="A10" t="s">
        <v>163</v>
      </c>
      <c r="B10" t="s">
        <v>280</v>
      </c>
      <c r="C10" t="s">
        <v>146</v>
      </c>
      <c r="D10" t="s">
        <v>162</v>
      </c>
      <c r="E10" t="s">
        <v>143</v>
      </c>
      <c r="F10" t="s">
        <v>156</v>
      </c>
    </row>
    <row r="11" spans="1:6" x14ac:dyDescent="0.2">
      <c r="A11" t="s">
        <v>165</v>
      </c>
      <c r="B11" t="s">
        <v>280</v>
      </c>
      <c r="C11" t="s">
        <v>164</v>
      </c>
      <c r="D11" t="s">
        <v>175</v>
      </c>
    </row>
    <row r="12" spans="1:6" x14ac:dyDescent="0.2">
      <c r="A12" t="s">
        <v>167</v>
      </c>
      <c r="B12" t="s">
        <v>280</v>
      </c>
      <c r="C12" t="s">
        <v>169</v>
      </c>
      <c r="D12" t="s">
        <v>162</v>
      </c>
      <c r="E12" t="s">
        <v>143</v>
      </c>
      <c r="F12" t="s">
        <v>156</v>
      </c>
    </row>
    <row r="13" spans="1:6" x14ac:dyDescent="0.2">
      <c r="A13" t="s">
        <v>168</v>
      </c>
      <c r="B13" t="s">
        <v>280</v>
      </c>
      <c r="C13" t="s">
        <v>170</v>
      </c>
      <c r="D13" t="s">
        <v>175</v>
      </c>
    </row>
    <row r="14" spans="1:6" x14ac:dyDescent="0.2">
      <c r="A14" t="s">
        <v>4</v>
      </c>
      <c r="B14" t="s">
        <v>280</v>
      </c>
      <c r="C14" t="s">
        <v>173</v>
      </c>
      <c r="D14" t="s">
        <v>172</v>
      </c>
    </row>
    <row r="15" spans="1:6" x14ac:dyDescent="0.2">
      <c r="A15" t="s">
        <v>5</v>
      </c>
      <c r="B15" t="s">
        <v>280</v>
      </c>
      <c r="C15" t="s">
        <v>171</v>
      </c>
      <c r="D15" t="s">
        <v>177</v>
      </c>
    </row>
    <row r="16" spans="1:6" x14ac:dyDescent="0.2">
      <c r="A16" t="s">
        <v>6</v>
      </c>
      <c r="B16" t="s">
        <v>280</v>
      </c>
      <c r="C16" t="s">
        <v>178</v>
      </c>
      <c r="D16" t="s">
        <v>179</v>
      </c>
      <c r="F16" t="s">
        <v>180</v>
      </c>
    </row>
    <row r="17" spans="1:6" x14ac:dyDescent="0.2">
      <c r="A17" t="s">
        <v>186</v>
      </c>
      <c r="B17" t="s">
        <v>280</v>
      </c>
      <c r="C17" t="s">
        <v>182</v>
      </c>
      <c r="D17" t="s">
        <v>185</v>
      </c>
    </row>
    <row r="18" spans="1:6" ht="16" x14ac:dyDescent="0.2">
      <c r="A18" s="13" t="s">
        <v>224</v>
      </c>
      <c r="B18" t="s">
        <v>280</v>
      </c>
      <c r="C18" t="s">
        <v>218</v>
      </c>
      <c r="D18" t="s">
        <v>187</v>
      </c>
    </row>
    <row r="19" spans="1:6" ht="16" x14ac:dyDescent="0.2">
      <c r="A19" s="13" t="s">
        <v>225</v>
      </c>
      <c r="B19" t="s">
        <v>280</v>
      </c>
      <c r="C19" t="s">
        <v>297</v>
      </c>
      <c r="D19" t="s">
        <v>187</v>
      </c>
    </row>
    <row r="20" spans="1:6" x14ac:dyDescent="0.2">
      <c r="A20" t="s">
        <v>10</v>
      </c>
      <c r="B20" t="s">
        <v>302</v>
      </c>
    </row>
    <row r="21" spans="1:6" x14ac:dyDescent="0.2">
      <c r="A21" t="s">
        <v>240</v>
      </c>
      <c r="B21" t="s">
        <v>302</v>
      </c>
      <c r="D21" t="s">
        <v>303</v>
      </c>
    </row>
    <row r="22" spans="1:6" x14ac:dyDescent="0.2">
      <c r="A22" t="s">
        <v>238</v>
      </c>
      <c r="B22" t="s">
        <v>280</v>
      </c>
      <c r="C22" t="s">
        <v>218</v>
      </c>
      <c r="D22" t="s">
        <v>187</v>
      </c>
    </row>
    <row r="23" spans="1:6" x14ac:dyDescent="0.2">
      <c r="A23" t="s">
        <v>7</v>
      </c>
      <c r="B23" t="s">
        <v>301</v>
      </c>
      <c r="C23" t="s">
        <v>297</v>
      </c>
      <c r="D23" t="s">
        <v>187</v>
      </c>
    </row>
    <row r="24" spans="1:6" x14ac:dyDescent="0.2">
      <c r="A24" t="s">
        <v>239</v>
      </c>
      <c r="B24" t="s">
        <v>301</v>
      </c>
      <c r="C24" t="s">
        <v>297</v>
      </c>
      <c r="D24" t="s">
        <v>187</v>
      </c>
    </row>
    <row r="25" spans="1:6" x14ac:dyDescent="0.2">
      <c r="A25" t="s">
        <v>226</v>
      </c>
      <c r="B25" t="s">
        <v>304</v>
      </c>
      <c r="C25" t="s">
        <v>297</v>
      </c>
      <c r="D25" t="s">
        <v>187</v>
      </c>
    </row>
    <row r="26" spans="1:6" x14ac:dyDescent="0.2">
      <c r="A26" t="s">
        <v>0</v>
      </c>
      <c r="B26" t="s">
        <v>304</v>
      </c>
      <c r="C26" t="s">
        <v>298</v>
      </c>
      <c r="D26" t="s">
        <v>187</v>
      </c>
    </row>
    <row r="27" spans="1:6" x14ac:dyDescent="0.2">
      <c r="A27" t="s">
        <v>291</v>
      </c>
      <c r="B27" t="s">
        <v>304</v>
      </c>
      <c r="C27" t="s">
        <v>299</v>
      </c>
      <c r="D27" t="s">
        <v>187</v>
      </c>
    </row>
    <row r="28" spans="1:6" x14ac:dyDescent="0.2">
      <c r="A28" t="s">
        <v>300</v>
      </c>
      <c r="B28" t="s">
        <v>304</v>
      </c>
      <c r="D28" t="s">
        <v>305</v>
      </c>
      <c r="F28" t="s">
        <v>306</v>
      </c>
    </row>
    <row r="29" spans="1:6" x14ac:dyDescent="0.2">
      <c r="A29" t="s">
        <v>11</v>
      </c>
      <c r="B29" t="s">
        <v>304</v>
      </c>
      <c r="D29" t="s">
        <v>187</v>
      </c>
      <c r="E29" t="s">
        <v>290</v>
      </c>
    </row>
    <row r="30" spans="1:6" x14ac:dyDescent="0.2">
      <c r="A30" t="s">
        <v>12</v>
      </c>
      <c r="B30" t="s">
        <v>304</v>
      </c>
      <c r="C30" t="s">
        <v>307</v>
      </c>
      <c r="D30" t="s">
        <v>187</v>
      </c>
    </row>
    <row r="33" spans="1:2" x14ac:dyDescent="0.2">
      <c r="A33" s="18" t="s">
        <v>134</v>
      </c>
    </row>
    <row r="34" spans="1:2" x14ac:dyDescent="0.2">
      <c r="A34" t="s">
        <v>137</v>
      </c>
      <c r="B34" t="s">
        <v>138</v>
      </c>
    </row>
    <row r="35" spans="1:2" x14ac:dyDescent="0.2">
      <c r="A35" t="s">
        <v>140</v>
      </c>
      <c r="B35" t="s">
        <v>139</v>
      </c>
    </row>
    <row r="36" spans="1:2" x14ac:dyDescent="0.2">
      <c r="A36" t="s">
        <v>183</v>
      </c>
      <c r="B36" t="s">
        <v>184</v>
      </c>
    </row>
    <row r="39" spans="1:2" x14ac:dyDescent="0.2">
      <c r="A39" s="18" t="s">
        <v>281</v>
      </c>
    </row>
    <row r="40" spans="1:2" s="15" customFormat="1" x14ac:dyDescent="0.2">
      <c r="A40" s="15" t="s">
        <v>16</v>
      </c>
      <c r="B40" s="15" t="s">
        <v>230</v>
      </c>
    </row>
    <row r="41" spans="1:2" x14ac:dyDescent="0.2">
      <c r="A41" s="6" t="s">
        <v>66</v>
      </c>
      <c r="B41" s="6" t="s">
        <v>231</v>
      </c>
    </row>
    <row r="42" spans="1:2" x14ac:dyDescent="0.2">
      <c r="A42" s="6" t="s">
        <v>92</v>
      </c>
      <c r="B42" s="6" t="s">
        <v>232</v>
      </c>
    </row>
    <row r="43" spans="1:2" x14ac:dyDescent="0.2">
      <c r="A43" s="6" t="s">
        <v>115</v>
      </c>
      <c r="B43" s="6" t="s">
        <v>233</v>
      </c>
    </row>
    <row r="46" spans="1:2" x14ac:dyDescent="0.2">
      <c r="A46" s="18" t="s">
        <v>284</v>
      </c>
    </row>
    <row r="47" spans="1:2" s="15" customFormat="1" x14ac:dyDescent="0.2">
      <c r="A47" s="15" t="s">
        <v>234</v>
      </c>
      <c r="B47" s="15" t="s">
        <v>285</v>
      </c>
    </row>
    <row r="48" spans="1:2" x14ac:dyDescent="0.2">
      <c r="A48" s="6"/>
      <c r="B48" s="6" t="s">
        <v>286</v>
      </c>
    </row>
    <row r="49" spans="1:2" x14ac:dyDescent="0.2">
      <c r="A49" s="6"/>
      <c r="B49" s="6" t="s">
        <v>287</v>
      </c>
    </row>
    <row r="50" spans="1:2" x14ac:dyDescent="0.2">
      <c r="A50" s="6"/>
      <c r="B50" s="6"/>
    </row>
    <row r="52" spans="1:2" x14ac:dyDescent="0.2">
      <c r="A52" s="18" t="s">
        <v>292</v>
      </c>
    </row>
    <row r="53" spans="1:2" x14ac:dyDescent="0.2">
      <c r="A53" t="s">
        <v>271</v>
      </c>
      <c r="B53" t="s">
        <v>263</v>
      </c>
    </row>
    <row r="54" spans="1:2" x14ac:dyDescent="0.2">
      <c r="A54" t="s">
        <v>272</v>
      </c>
      <c r="B54" t="s">
        <v>264</v>
      </c>
    </row>
    <row r="55" spans="1:2" x14ac:dyDescent="0.2">
      <c r="A55" t="s">
        <v>273</v>
      </c>
      <c r="B55" t="s">
        <v>265</v>
      </c>
    </row>
    <row r="56" spans="1:2" x14ac:dyDescent="0.2">
      <c r="A56" t="s">
        <v>274</v>
      </c>
      <c r="B56" t="s">
        <v>266</v>
      </c>
    </row>
    <row r="57" spans="1:2" x14ac:dyDescent="0.2">
      <c r="A57" t="s">
        <v>275</v>
      </c>
      <c r="B57" t="s">
        <v>267</v>
      </c>
    </row>
    <row r="58" spans="1:2" x14ac:dyDescent="0.2">
      <c r="A58" t="s">
        <v>276</v>
      </c>
      <c r="B58" t="s">
        <v>268</v>
      </c>
    </row>
    <row r="59" spans="1:2" x14ac:dyDescent="0.2">
      <c r="A59" t="s">
        <v>277</v>
      </c>
      <c r="B59" t="s">
        <v>269</v>
      </c>
    </row>
    <row r="60" spans="1:2" x14ac:dyDescent="0.2">
      <c r="A60" t="s">
        <v>278</v>
      </c>
      <c r="B60" t="s">
        <v>270</v>
      </c>
    </row>
    <row r="61" spans="1:2" x14ac:dyDescent="0.2">
      <c r="A61" t="s">
        <v>258</v>
      </c>
      <c r="B61" t="s">
        <v>260</v>
      </c>
    </row>
    <row r="62" spans="1:2" x14ac:dyDescent="0.2">
      <c r="A62" t="s">
        <v>259</v>
      </c>
      <c r="B62" t="s">
        <v>261</v>
      </c>
    </row>
    <row r="63" spans="1:2" x14ac:dyDescent="0.2">
      <c r="A63" t="s">
        <v>262</v>
      </c>
      <c r="B63" t="s">
        <v>262</v>
      </c>
    </row>
    <row r="66" spans="1:2" x14ac:dyDescent="0.2">
      <c r="A66" s="18" t="s">
        <v>161</v>
      </c>
    </row>
    <row r="67" spans="1:2" x14ac:dyDescent="0.2">
      <c r="A67" s="12" t="s">
        <v>309</v>
      </c>
    </row>
    <row r="68" spans="1:2" x14ac:dyDescent="0.2">
      <c r="A68" s="15" t="s">
        <v>159</v>
      </c>
    </row>
    <row r="69" spans="1:2" x14ac:dyDescent="0.2">
      <c r="A69" s="16" t="s">
        <v>157</v>
      </c>
    </row>
    <row r="70" spans="1:2" x14ac:dyDescent="0.2">
      <c r="A70" s="15" t="s">
        <v>158</v>
      </c>
    </row>
    <row r="71" spans="1:2" x14ac:dyDescent="0.2">
      <c r="A71" s="16" t="s">
        <v>310</v>
      </c>
    </row>
    <row r="72" spans="1:2" x14ac:dyDescent="0.2">
      <c r="A72" s="17" t="s">
        <v>311</v>
      </c>
    </row>
    <row r="73" spans="1:2" x14ac:dyDescent="0.2">
      <c r="A73" t="s">
        <v>160</v>
      </c>
      <c r="B73" t="s">
        <v>90</v>
      </c>
    </row>
    <row r="74" spans="1:2" x14ac:dyDescent="0.2">
      <c r="A74" s="16">
        <v>5422</v>
      </c>
    </row>
    <row r="75" spans="1:2" x14ac:dyDescent="0.2">
      <c r="A75" s="16">
        <v>6322</v>
      </c>
    </row>
    <row r="76" spans="1:2" x14ac:dyDescent="0.2">
      <c r="A76" s="16">
        <v>5332</v>
      </c>
    </row>
    <row r="77" spans="1:2" x14ac:dyDescent="0.2">
      <c r="A77" s="16"/>
    </row>
    <row r="79" spans="1:2" x14ac:dyDescent="0.2">
      <c r="A79" s="18" t="s">
        <v>147</v>
      </c>
    </row>
    <row r="80" spans="1:2" x14ac:dyDescent="0.2">
      <c r="A80" t="s">
        <v>148</v>
      </c>
    </row>
    <row r="81" spans="1:4" x14ac:dyDescent="0.2">
      <c r="A81" t="s">
        <v>149</v>
      </c>
    </row>
    <row r="82" spans="1:4" x14ac:dyDescent="0.2">
      <c r="A82" t="s">
        <v>150</v>
      </c>
    </row>
    <row r="83" spans="1:4" x14ac:dyDescent="0.2">
      <c r="A83" t="s">
        <v>151</v>
      </c>
    </row>
    <row r="86" spans="1:4" x14ac:dyDescent="0.2">
      <c r="A86" s="18" t="s">
        <v>312</v>
      </c>
    </row>
    <row r="87" spans="1:4" s="12" customFormat="1" x14ac:dyDescent="0.2">
      <c r="A87" s="12" t="s">
        <v>204</v>
      </c>
      <c r="B87" s="12" t="s">
        <v>205</v>
      </c>
      <c r="C87" s="12" t="s">
        <v>133</v>
      </c>
      <c r="D87" s="12" t="s">
        <v>206</v>
      </c>
    </row>
    <row r="88" spans="1:4" x14ac:dyDescent="0.2">
      <c r="A88" t="s">
        <v>188</v>
      </c>
      <c r="C88" t="s">
        <v>189</v>
      </c>
      <c r="D88" t="s">
        <v>207</v>
      </c>
    </row>
    <row r="89" spans="1:4" x14ac:dyDescent="0.2">
      <c r="A89" t="s">
        <v>191</v>
      </c>
      <c r="C89" t="s">
        <v>190</v>
      </c>
      <c r="D89" t="s">
        <v>207</v>
      </c>
    </row>
    <row r="90" spans="1:4" x14ac:dyDescent="0.2">
      <c r="A90" t="s">
        <v>192</v>
      </c>
      <c r="C90" t="s">
        <v>201</v>
      </c>
      <c r="D90" t="s">
        <v>207</v>
      </c>
    </row>
    <row r="91" spans="1:4" x14ac:dyDescent="0.2">
      <c r="A91" t="s">
        <v>194</v>
      </c>
      <c r="C91" s="6" t="s">
        <v>193</v>
      </c>
      <c r="D91" t="s">
        <v>207</v>
      </c>
    </row>
    <row r="92" spans="1:4" x14ac:dyDescent="0.2">
      <c r="A92" t="s">
        <v>195</v>
      </c>
      <c r="C92" t="s">
        <v>196</v>
      </c>
      <c r="D92" t="s">
        <v>207</v>
      </c>
    </row>
    <row r="93" spans="1:4" x14ac:dyDescent="0.2">
      <c r="A93" t="s">
        <v>198</v>
      </c>
      <c r="C93" t="s">
        <v>197</v>
      </c>
      <c r="D93" t="s">
        <v>207</v>
      </c>
    </row>
    <row r="94" spans="1:4" x14ac:dyDescent="0.2">
      <c r="A94" t="s">
        <v>199</v>
      </c>
      <c r="C94" t="s">
        <v>200</v>
      </c>
      <c r="D94" t="s">
        <v>207</v>
      </c>
    </row>
    <row r="95" spans="1:4" x14ac:dyDescent="0.2">
      <c r="A95" t="s">
        <v>202</v>
      </c>
      <c r="C95" t="s">
        <v>203</v>
      </c>
      <c r="D95" t="s">
        <v>207</v>
      </c>
    </row>
    <row r="96" spans="1:4" x14ac:dyDescent="0.2">
      <c r="A96" t="s">
        <v>208</v>
      </c>
      <c r="C96" t="s">
        <v>209</v>
      </c>
      <c r="D96" t="s">
        <v>207</v>
      </c>
    </row>
    <row r="97" spans="1:4" x14ac:dyDescent="0.2">
      <c r="A97" t="s">
        <v>222</v>
      </c>
      <c r="B97" t="s">
        <v>223</v>
      </c>
      <c r="C97" t="s">
        <v>210</v>
      </c>
      <c r="D97" t="s">
        <v>207</v>
      </c>
    </row>
    <row r="98" spans="1:4" x14ac:dyDescent="0.2">
      <c r="A98" t="s">
        <v>211</v>
      </c>
      <c r="B98" t="s">
        <v>212</v>
      </c>
      <c r="C98" t="s">
        <v>213</v>
      </c>
      <c r="D98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B878-6FDD-3146-9C0B-D57012794B1E}">
  <dimension ref="A1:A22"/>
  <sheetViews>
    <sheetView workbookViewId="0">
      <selection activeCell="A27" sqref="A27"/>
    </sheetView>
  </sheetViews>
  <sheetFormatPr baseColWidth="10" defaultRowHeight="15" x14ac:dyDescent="0.2"/>
  <sheetData>
    <row r="1" spans="1:1" x14ac:dyDescent="0.2">
      <c r="A1" s="11" t="s">
        <v>241</v>
      </c>
    </row>
    <row r="2" spans="1:1" x14ac:dyDescent="0.2">
      <c r="A2" t="s">
        <v>242</v>
      </c>
    </row>
    <row r="3" spans="1:1" x14ac:dyDescent="0.2">
      <c r="A3" t="s">
        <v>243</v>
      </c>
    </row>
    <row r="4" spans="1:1" x14ac:dyDescent="0.2">
      <c r="A4" t="s">
        <v>244</v>
      </c>
    </row>
    <row r="5" spans="1:1" x14ac:dyDescent="0.2">
      <c r="A5" t="s">
        <v>246</v>
      </c>
    </row>
    <row r="8" spans="1:1" s="11" customFormat="1" x14ac:dyDescent="0.2">
      <c r="A8" s="11" t="s">
        <v>227</v>
      </c>
    </row>
    <row r="9" spans="1:1" x14ac:dyDescent="0.2">
      <c r="A9" t="s">
        <v>245</v>
      </c>
    </row>
    <row r="10" spans="1:1" x14ac:dyDescent="0.2">
      <c r="A10" t="s">
        <v>247</v>
      </c>
    </row>
    <row r="11" spans="1:1" x14ac:dyDescent="0.2">
      <c r="A11" s="14" t="s">
        <v>235</v>
      </c>
    </row>
    <row r="12" spans="1:1" x14ac:dyDescent="0.2">
      <c r="A12" s="14" t="s">
        <v>236</v>
      </c>
    </row>
    <row r="13" spans="1:1" x14ac:dyDescent="0.2">
      <c r="A13" t="s">
        <v>237</v>
      </c>
    </row>
    <row r="16" spans="1:1" s="11" customFormat="1" x14ac:dyDescent="0.2">
      <c r="A16" s="11" t="s">
        <v>228</v>
      </c>
    </row>
    <row r="17" spans="1:1" x14ac:dyDescent="0.2">
      <c r="A17" t="s">
        <v>229</v>
      </c>
    </row>
    <row r="20" spans="1:1" x14ac:dyDescent="0.2">
      <c r="A20" s="11" t="s">
        <v>321</v>
      </c>
    </row>
    <row r="21" spans="1:1" x14ac:dyDescent="0.2">
      <c r="A21" t="s">
        <v>322</v>
      </c>
    </row>
    <row r="22" spans="1:1" x14ac:dyDescent="0.2">
      <c r="A22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rules</vt:lpstr>
      <vt:lpstr>columns</vt:lpstr>
      <vt:lpstr>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Famille Rambert</dc:creator>
  <cp:lastModifiedBy>Famille Rambert</cp:lastModifiedBy>
  <dcterms:created xsi:type="dcterms:W3CDTF">2026-04-11T19:37:18Z</dcterms:created>
  <dcterms:modified xsi:type="dcterms:W3CDTF">2026-04-12T17:22:23Z</dcterms:modified>
</cp:coreProperties>
</file>